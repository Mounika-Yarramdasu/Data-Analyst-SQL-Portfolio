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MounikaYarramdasu\Downloads\"/>
    </mc:Choice>
  </mc:AlternateContent>
  <xr:revisionPtr revIDLastSave="0" documentId="8_{C17676BC-07F5-432F-A3C4-EE0AFC63A11E}" xr6:coauthVersionLast="47" xr6:coauthVersionMax="47" xr10:uidLastSave="{00000000-0000-0000-0000-000000000000}"/>
  <bookViews>
    <workbookView xWindow="-110" yWindow="-110" windowWidth="19420" windowHeight="12220" xr2:uid="{E6756FB1-351B-4F65-B8BE-6BA8D8C817E3}"/>
  </bookViews>
  <sheets>
    <sheet name="Raw_Data" sheetId="1" r:id="rId1"/>
    <sheet name="Dept_Analysis" sheetId="2" r:id="rId2"/>
    <sheet name="Sales_Analysis" sheetId="4" r:id="rId3"/>
    <sheet name="Salary_Analysis" sheetId="3" r:id="rId4"/>
    <sheet name="Dashboard" sheetId="5" r:id="rId5"/>
  </sheets>
  <definedNames>
    <definedName name="Slicer_DeptName">#N/A</definedName>
    <definedName name="Slicer_DeptName1">#N/A</definedName>
  </definedNames>
  <calcPr calcId="191029"/>
  <pivotCaches>
    <pivotCache cacheId="14" r:id="rId6"/>
    <pivotCache cacheId="38" r:id="rId7"/>
    <pivotCache cacheId="37"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5" l="1"/>
  <c r="G3" i="5"/>
  <c r="E3" i="5"/>
  <c r="C3" i="5"/>
</calcChain>
</file>

<file path=xl/sharedStrings.xml><?xml version="1.0" encoding="utf-8"?>
<sst xmlns="http://schemas.openxmlformats.org/spreadsheetml/2006/main" count="155" uniqueCount="66">
  <si>
    <t>EmpID</t>
  </si>
  <si>
    <t>Name</t>
  </si>
  <si>
    <t>DeptName</t>
  </si>
  <si>
    <t>City</t>
  </si>
  <si>
    <t>Salary</t>
  </si>
  <si>
    <t>JoinYear</t>
  </si>
  <si>
    <t>SalaryBand</t>
  </si>
  <si>
    <t>DeptSalaryRank</t>
  </si>
  <si>
    <t>SalarySharePct</t>
  </si>
  <si>
    <t>E001</t>
  </si>
  <si>
    <t>Arjun</t>
  </si>
  <si>
    <t>Engineering</t>
  </si>
  <si>
    <t>Hyderabad</t>
  </si>
  <si>
    <t>Senior</t>
  </si>
  <si>
    <t>E002</t>
  </si>
  <si>
    <t>Priya</t>
  </si>
  <si>
    <t>Mid</t>
  </si>
  <si>
    <t>E009</t>
  </si>
  <si>
    <t>Rahul</t>
  </si>
  <si>
    <t>E004</t>
  </si>
  <si>
    <t>Sneha</t>
  </si>
  <si>
    <t>HR</t>
  </si>
  <si>
    <t>Mumbai</t>
  </si>
  <si>
    <t>E003</t>
  </si>
  <si>
    <t>Ravi</t>
  </si>
  <si>
    <t>E006</t>
  </si>
  <si>
    <t>Meera</t>
  </si>
  <si>
    <t>Sales</t>
  </si>
  <si>
    <t>Bangalore</t>
  </si>
  <si>
    <t>E010</t>
  </si>
  <si>
    <t>Anita</t>
  </si>
  <si>
    <t>Junior</t>
  </si>
  <si>
    <t>E005</t>
  </si>
  <si>
    <t>Kiran</t>
  </si>
  <si>
    <t>E008</t>
  </si>
  <si>
    <t>Divya</t>
  </si>
  <si>
    <t>Finance</t>
  </si>
  <si>
    <t>Delhi</t>
  </si>
  <si>
    <t>E007</t>
  </si>
  <si>
    <t>Suresh</t>
  </si>
  <si>
    <t>Row Labels</t>
  </si>
  <si>
    <t>Grand Total</t>
  </si>
  <si>
    <t>Count of Name</t>
  </si>
  <si>
    <t>Sum of Salary</t>
  </si>
  <si>
    <t>Average of Salary</t>
  </si>
  <si>
    <t>TotalSales</t>
  </si>
  <si>
    <t>TotalTarget</t>
  </si>
  <si>
    <t>AchievementPct</t>
  </si>
  <si>
    <t>Performance</t>
  </si>
  <si>
    <t>Exceeded</t>
  </si>
  <si>
    <t>Below Target</t>
  </si>
  <si>
    <t>Sum of TotalSales</t>
  </si>
  <si>
    <t>Sum of TotalTarget</t>
  </si>
  <si>
    <t>Region</t>
  </si>
  <si>
    <t>Variance</t>
  </si>
  <si>
    <t>Status</t>
  </si>
  <si>
    <t>South</t>
  </si>
  <si>
    <t>Target Met</t>
  </si>
  <si>
    <t>North</t>
  </si>
  <si>
    <t>East</t>
  </si>
  <si>
    <t>West</t>
  </si>
  <si>
    <t>Total Employees</t>
  </si>
  <si>
    <t>Avg Salary</t>
  </si>
  <si>
    <t>Total Salary Cost</t>
  </si>
  <si>
    <t>Senior Employees</t>
  </si>
  <si>
    <t>HR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</si>
</sst>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1"/>
      <color theme="1"/>
      <name val="Calibri"/>
      <family val="2"/>
      <scheme val="minor"/>
    </font>
    <font>
      <sz val="10"/>
      <color theme="0"/>
      <name val="Calibri"/>
      <family val="2"/>
      <scheme val="minor"/>
    </font>
    <font>
      <b/>
      <sz val="18"/>
      <color theme="1"/>
      <name val="Calibri"/>
      <family val="2"/>
      <scheme val="minor"/>
    </font>
    <font>
      <b/>
      <sz val="16"/>
      <color theme="0"/>
      <name val="Calibri"/>
      <family val="2"/>
      <scheme val="minor"/>
    </font>
  </fonts>
  <fills count="4">
    <fill>
      <patternFill patternType="none"/>
    </fill>
    <fill>
      <patternFill patternType="gray125"/>
    </fill>
    <fill>
      <patternFill patternType="solid">
        <fgColor rgb="FF1F4E7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0" borderId="0" xfId="0" applyFont="1"/>
    <xf numFmtId="0" fontId="2" fillId="2" borderId="0" xfId="0" applyFont="1" applyFill="1" applyAlignment="1">
      <alignment horizontal="center" vertical="center"/>
    </xf>
    <xf numFmtId="0" fontId="3" fillId="3" borderId="0" xfId="0" applyFont="1" applyFill="1" applyAlignment="1">
      <alignment horizontal="center" vertical="center"/>
    </xf>
    <xf numFmtId="0" fontId="0" fillId="0" borderId="0" xfId="0" applyAlignment="1">
      <alignment horizontal="center" vertical="center"/>
    </xf>
    <xf numFmtId="0" fontId="4" fillId="2" borderId="0" xfId="0" applyFont="1" applyFill="1" applyAlignment="1">
      <alignment horizontal="center" vertical="center"/>
    </xf>
  </cellXfs>
  <cellStyles count="1">
    <cellStyle name="Normal" xfId="0" builtinId="0"/>
  </cellStyles>
  <dxfs count="0"/>
  <tableStyles count="1" defaultTableStyle="TableStyleMedium2" defaultPivotStyle="PivotStyleLight16">
    <tableStyle name="Invisible" pivot="0" table="0" count="0" xr9:uid="{FF10355B-8BF0-4910-B055-EE040381B940}"/>
  </tableStyles>
  <colors>
    <mruColors>
      <color rgb="FF1F4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[hr_dashboard_analysis.xlsx]Dept_Analysis!PivotTable1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Dept Headcount &amp; Salary</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Dept_Analysis!$D$1</c:f>
              <c:strCache>
                <c:ptCount val="1"/>
                <c:pt idx="0">
                  <c:v>Count of Name</c:v>
                </c:pt>
              </c:strCache>
            </c:strRef>
          </c:tx>
          <c:spPr>
            <a:solidFill>
              <a:schemeClr val="accent1"/>
            </a:solidFill>
            <a:ln>
              <a:noFill/>
            </a:ln>
            <a:effectLst/>
          </c:spPr>
          <c:invertIfNegative val="0"/>
          <c:cat>
            <c:strRef>
              <c:f>Dept_Analysis!$C$2:$C$6</c:f>
              <c:strCache>
                <c:ptCount val="4"/>
                <c:pt idx="0">
                  <c:v>Engineering</c:v>
                </c:pt>
                <c:pt idx="1">
                  <c:v>Finance</c:v>
                </c:pt>
                <c:pt idx="2">
                  <c:v>HR</c:v>
                </c:pt>
                <c:pt idx="3">
                  <c:v>Sales</c:v>
                </c:pt>
              </c:strCache>
            </c:strRef>
          </c:cat>
          <c:val>
            <c:numRef>
              <c:f>Dept_Analysis!$D$2:$D$6</c:f>
              <c:numCache>
                <c:formatCode>General</c:formatCode>
                <c:ptCount val="4"/>
                <c:pt idx="0">
                  <c:v>3</c:v>
                </c:pt>
                <c:pt idx="1">
                  <c:v>2</c:v>
                </c:pt>
                <c:pt idx="2">
                  <c:v>2</c:v>
                </c:pt>
                <c:pt idx="3">
                  <c:v>3</c:v>
                </c:pt>
              </c:numCache>
            </c:numRef>
          </c:val>
          <c:extLst>
            <c:ext xmlns:c16="http://schemas.microsoft.com/office/drawing/2014/chart" uri="{C3380CC4-5D6E-409C-BE32-E72D297353CC}">
              <c16:uniqueId val="{00000005-B008-44AC-9297-BADC3C672E71}"/>
            </c:ext>
          </c:extLst>
        </c:ser>
        <c:ser>
          <c:idx val="1"/>
          <c:order val="1"/>
          <c:tx>
            <c:strRef>
              <c:f>Dept_Analysis!$E$1</c:f>
              <c:strCache>
                <c:ptCount val="1"/>
                <c:pt idx="0">
                  <c:v>Sum of Salary</c:v>
                </c:pt>
              </c:strCache>
            </c:strRef>
          </c:tx>
          <c:spPr>
            <a:solidFill>
              <a:schemeClr val="accent2"/>
            </a:solidFill>
            <a:ln>
              <a:noFill/>
            </a:ln>
            <a:effectLst/>
          </c:spPr>
          <c:invertIfNegative val="0"/>
          <c:cat>
            <c:strRef>
              <c:f>Dept_Analysis!$C$2:$C$6</c:f>
              <c:strCache>
                <c:ptCount val="4"/>
                <c:pt idx="0">
                  <c:v>Engineering</c:v>
                </c:pt>
                <c:pt idx="1">
                  <c:v>Finance</c:v>
                </c:pt>
                <c:pt idx="2">
                  <c:v>HR</c:v>
                </c:pt>
                <c:pt idx="3">
                  <c:v>Sales</c:v>
                </c:pt>
              </c:strCache>
            </c:strRef>
          </c:cat>
          <c:val>
            <c:numRef>
              <c:f>Dept_Analysis!$E$2:$E$6</c:f>
              <c:numCache>
                <c:formatCode>General</c:formatCode>
                <c:ptCount val="4"/>
                <c:pt idx="0">
                  <c:v>249000</c:v>
                </c:pt>
                <c:pt idx="1">
                  <c:v>153000</c:v>
                </c:pt>
                <c:pt idx="2">
                  <c:v>148000</c:v>
                </c:pt>
                <c:pt idx="3">
                  <c:v>205000</c:v>
                </c:pt>
              </c:numCache>
            </c:numRef>
          </c:val>
          <c:extLst>
            <c:ext xmlns:c16="http://schemas.microsoft.com/office/drawing/2014/chart" uri="{C3380CC4-5D6E-409C-BE32-E72D297353CC}">
              <c16:uniqueId val="{00000008-B008-44AC-9297-BADC3C672E71}"/>
            </c:ext>
          </c:extLst>
        </c:ser>
        <c:ser>
          <c:idx val="2"/>
          <c:order val="2"/>
          <c:tx>
            <c:strRef>
              <c:f>Dept_Analysis!$F$1</c:f>
              <c:strCache>
                <c:ptCount val="1"/>
                <c:pt idx="0">
                  <c:v>Average of Salary</c:v>
                </c:pt>
              </c:strCache>
            </c:strRef>
          </c:tx>
          <c:spPr>
            <a:solidFill>
              <a:schemeClr val="accent3"/>
            </a:solidFill>
            <a:ln>
              <a:noFill/>
            </a:ln>
            <a:effectLst/>
          </c:spPr>
          <c:invertIfNegative val="0"/>
          <c:cat>
            <c:strRef>
              <c:f>Dept_Analysis!$C$2:$C$6</c:f>
              <c:strCache>
                <c:ptCount val="4"/>
                <c:pt idx="0">
                  <c:v>Engineering</c:v>
                </c:pt>
                <c:pt idx="1">
                  <c:v>Finance</c:v>
                </c:pt>
                <c:pt idx="2">
                  <c:v>HR</c:v>
                </c:pt>
                <c:pt idx="3">
                  <c:v>Sales</c:v>
                </c:pt>
              </c:strCache>
            </c:strRef>
          </c:cat>
          <c:val>
            <c:numRef>
              <c:f>Dept_Analysis!$F$2:$F$6</c:f>
              <c:numCache>
                <c:formatCode>General</c:formatCode>
                <c:ptCount val="4"/>
                <c:pt idx="0">
                  <c:v>83000</c:v>
                </c:pt>
                <c:pt idx="1">
                  <c:v>76500</c:v>
                </c:pt>
                <c:pt idx="2">
                  <c:v>74000</c:v>
                </c:pt>
                <c:pt idx="3">
                  <c:v>68333.333333333328</c:v>
                </c:pt>
              </c:numCache>
            </c:numRef>
          </c:val>
          <c:extLst>
            <c:ext xmlns:c16="http://schemas.microsoft.com/office/drawing/2014/chart" uri="{C3380CC4-5D6E-409C-BE32-E72D297353CC}">
              <c16:uniqueId val="{00000009-B008-44AC-9297-BADC3C672E71}"/>
            </c:ext>
          </c:extLst>
        </c:ser>
        <c:dLbls>
          <c:showLegendKey val="0"/>
          <c:showVal val="0"/>
          <c:showCatName val="0"/>
          <c:showSerName val="0"/>
          <c:showPercent val="0"/>
          <c:showBubbleSize val="0"/>
        </c:dLbls>
        <c:gapWidth val="219"/>
        <c:overlap val="-27"/>
        <c:axId val="1448462863"/>
        <c:axId val="1448457103"/>
      </c:barChart>
      <c:catAx>
        <c:axId val="144846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457103"/>
        <c:crosses val="autoZero"/>
        <c:auto val="1"/>
        <c:lblAlgn val="ctr"/>
        <c:lblOffset val="100"/>
        <c:noMultiLvlLbl val="0"/>
      </c:catAx>
      <c:valAx>
        <c:axId val="1448457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462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[hr_dashboard_analysis.xlsx]Sales_Analysis!PivotTable10</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chemeClr val="tx1"/>
                </a:solidFill>
              </a:rPr>
              <a:t>Sales vs Target by Employee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Sales_Analysis!$B$2</c:f>
              <c:strCache>
                <c:ptCount val="1"/>
                <c:pt idx="0">
                  <c:v>Sum of TotalSales</c:v>
                </c:pt>
              </c:strCache>
            </c:strRef>
          </c:tx>
          <c:spPr>
            <a:solidFill>
              <a:schemeClr val="accent1"/>
            </a:solidFill>
            <a:ln>
              <a:noFill/>
            </a:ln>
            <a:effectLst/>
          </c:spPr>
          <c:invertIfNegative val="0"/>
          <c:cat>
            <c:strRef>
              <c:f>Sales_Analysis!$A$3:$A$12</c:f>
              <c:strCache>
                <c:ptCount val="9"/>
                <c:pt idx="0">
                  <c:v>Arjun</c:v>
                </c:pt>
                <c:pt idx="1">
                  <c:v>Divya</c:v>
                </c:pt>
                <c:pt idx="2">
                  <c:v>Kiran</c:v>
                </c:pt>
                <c:pt idx="3">
                  <c:v>Meera</c:v>
                </c:pt>
                <c:pt idx="4">
                  <c:v>Priya</c:v>
                </c:pt>
                <c:pt idx="5">
                  <c:v>Rahul</c:v>
                </c:pt>
                <c:pt idx="6">
                  <c:v>Ravi</c:v>
                </c:pt>
                <c:pt idx="7">
                  <c:v>Sneha</c:v>
                </c:pt>
                <c:pt idx="8">
                  <c:v>Suresh</c:v>
                </c:pt>
              </c:strCache>
            </c:strRef>
          </c:cat>
          <c:val>
            <c:numRef>
              <c:f>Sales_Analysis!$B$3:$B$12</c:f>
              <c:numCache>
                <c:formatCode>General</c:formatCode>
                <c:ptCount val="9"/>
                <c:pt idx="0">
                  <c:v>120000</c:v>
                </c:pt>
                <c:pt idx="1">
                  <c:v>110000</c:v>
                </c:pt>
                <c:pt idx="2">
                  <c:v>45000</c:v>
                </c:pt>
                <c:pt idx="3">
                  <c:v>130000</c:v>
                </c:pt>
                <c:pt idx="4">
                  <c:v>85000</c:v>
                </c:pt>
                <c:pt idx="5">
                  <c:v>90000</c:v>
                </c:pt>
                <c:pt idx="6">
                  <c:v>70000</c:v>
                </c:pt>
                <c:pt idx="7">
                  <c:v>80000</c:v>
                </c:pt>
                <c:pt idx="8">
                  <c:v>60000</c:v>
                </c:pt>
              </c:numCache>
            </c:numRef>
          </c:val>
          <c:extLst>
            <c:ext xmlns:c16="http://schemas.microsoft.com/office/drawing/2014/chart" uri="{C3380CC4-5D6E-409C-BE32-E72D297353CC}">
              <c16:uniqueId val="{00000000-D26A-41A7-B937-8ED6BBDC733C}"/>
            </c:ext>
          </c:extLst>
        </c:ser>
        <c:ser>
          <c:idx val="1"/>
          <c:order val="1"/>
          <c:tx>
            <c:strRef>
              <c:f>Sales_Analysis!$C$2</c:f>
              <c:strCache>
                <c:ptCount val="1"/>
                <c:pt idx="0">
                  <c:v>Sum of TotalTarget</c:v>
                </c:pt>
              </c:strCache>
            </c:strRef>
          </c:tx>
          <c:spPr>
            <a:solidFill>
              <a:schemeClr val="accent2"/>
            </a:solidFill>
            <a:ln>
              <a:noFill/>
            </a:ln>
            <a:effectLst/>
          </c:spPr>
          <c:invertIfNegative val="0"/>
          <c:cat>
            <c:strRef>
              <c:f>Sales_Analysis!$A$3:$A$12</c:f>
              <c:strCache>
                <c:ptCount val="9"/>
                <c:pt idx="0">
                  <c:v>Arjun</c:v>
                </c:pt>
                <c:pt idx="1">
                  <c:v>Divya</c:v>
                </c:pt>
                <c:pt idx="2">
                  <c:v>Kiran</c:v>
                </c:pt>
                <c:pt idx="3">
                  <c:v>Meera</c:v>
                </c:pt>
                <c:pt idx="4">
                  <c:v>Priya</c:v>
                </c:pt>
                <c:pt idx="5">
                  <c:v>Rahul</c:v>
                </c:pt>
                <c:pt idx="6">
                  <c:v>Ravi</c:v>
                </c:pt>
                <c:pt idx="7">
                  <c:v>Sneha</c:v>
                </c:pt>
                <c:pt idx="8">
                  <c:v>Suresh</c:v>
                </c:pt>
              </c:strCache>
            </c:strRef>
          </c:cat>
          <c:val>
            <c:numRef>
              <c:f>Sales_Analysis!$C$3:$C$12</c:f>
              <c:numCache>
                <c:formatCode>General</c:formatCode>
                <c:ptCount val="9"/>
                <c:pt idx="0">
                  <c:v>100000</c:v>
                </c:pt>
                <c:pt idx="1">
                  <c:v>100000</c:v>
                </c:pt>
                <c:pt idx="2">
                  <c:v>50000</c:v>
                </c:pt>
                <c:pt idx="3">
                  <c:v>120000</c:v>
                </c:pt>
                <c:pt idx="4">
                  <c:v>80000</c:v>
                </c:pt>
                <c:pt idx="5">
                  <c:v>85000</c:v>
                </c:pt>
                <c:pt idx="6">
                  <c:v>90000</c:v>
                </c:pt>
                <c:pt idx="7">
                  <c:v>75000</c:v>
                </c:pt>
                <c:pt idx="8">
                  <c:v>65000</c:v>
                </c:pt>
              </c:numCache>
            </c:numRef>
          </c:val>
          <c:extLst>
            <c:ext xmlns:c16="http://schemas.microsoft.com/office/drawing/2014/chart" uri="{C3380CC4-5D6E-409C-BE32-E72D297353CC}">
              <c16:uniqueId val="{00000001-D26A-41A7-B937-8ED6BBDC733C}"/>
            </c:ext>
          </c:extLst>
        </c:ser>
        <c:dLbls>
          <c:showLegendKey val="0"/>
          <c:showVal val="0"/>
          <c:showCatName val="0"/>
          <c:showSerName val="0"/>
          <c:showPercent val="0"/>
          <c:showBubbleSize val="0"/>
        </c:dLbls>
        <c:gapWidth val="219"/>
        <c:overlap val="-27"/>
        <c:axId val="301172975"/>
        <c:axId val="301163375"/>
      </c:barChart>
      <c:catAx>
        <c:axId val="30117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163375"/>
        <c:crosses val="autoZero"/>
        <c:auto val="1"/>
        <c:lblAlgn val="ctr"/>
        <c:lblOffset val="100"/>
        <c:noMultiLvlLbl val="0"/>
      </c:catAx>
      <c:valAx>
        <c:axId val="301163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172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[hr_dashboard_analysis.xlsx]Sales_Analysis!PivotTable11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chemeClr val="tx1"/>
                </a:solidFill>
              </a:rPr>
              <a:t>Region Sales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Sales_Analysis!$G$2</c:f>
              <c:strCache>
                <c:ptCount val="1"/>
                <c:pt idx="0">
                  <c:v>Total</c:v>
                </c:pt>
              </c:strCache>
            </c:strRef>
          </c:tx>
          <c:spPr>
            <a:solidFill>
              <a:schemeClr val="accent1"/>
            </a:solidFill>
            <a:ln>
              <a:noFill/>
            </a:ln>
            <a:effectLst/>
          </c:spPr>
          <c:invertIfNegative val="0"/>
          <c:cat>
            <c:strRef>
              <c:f>Sales_Analysis!$F$3:$F$7</c:f>
              <c:strCache>
                <c:ptCount val="4"/>
                <c:pt idx="0">
                  <c:v>East</c:v>
                </c:pt>
                <c:pt idx="1">
                  <c:v>North</c:v>
                </c:pt>
                <c:pt idx="2">
                  <c:v>South</c:v>
                </c:pt>
                <c:pt idx="3">
                  <c:v>West</c:v>
                </c:pt>
              </c:strCache>
            </c:strRef>
          </c:cat>
          <c:val>
            <c:numRef>
              <c:f>Sales_Analysis!$G$3:$G$7</c:f>
              <c:numCache>
                <c:formatCode>General</c:formatCode>
                <c:ptCount val="4"/>
                <c:pt idx="0">
                  <c:v>170000</c:v>
                </c:pt>
                <c:pt idx="1">
                  <c:v>175000</c:v>
                </c:pt>
                <c:pt idx="2">
                  <c:v>390000</c:v>
                </c:pt>
                <c:pt idx="3">
                  <c:v>150000</c:v>
                </c:pt>
              </c:numCache>
            </c:numRef>
          </c:val>
          <c:extLst>
            <c:ext xmlns:c16="http://schemas.microsoft.com/office/drawing/2014/chart" uri="{C3380CC4-5D6E-409C-BE32-E72D297353CC}">
              <c16:uniqueId val="{00000000-3239-41BA-A38B-6B482C379ECB}"/>
            </c:ext>
          </c:extLst>
        </c:ser>
        <c:dLbls>
          <c:showLegendKey val="0"/>
          <c:showVal val="0"/>
          <c:showCatName val="0"/>
          <c:showSerName val="0"/>
          <c:showPercent val="0"/>
          <c:showBubbleSize val="0"/>
        </c:dLbls>
        <c:gapWidth val="219"/>
        <c:overlap val="-27"/>
        <c:axId val="301185455"/>
        <c:axId val="301186895"/>
      </c:barChart>
      <c:catAx>
        <c:axId val="301185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186895"/>
        <c:crosses val="autoZero"/>
        <c:auto val="1"/>
        <c:lblAlgn val="ctr"/>
        <c:lblOffset val="100"/>
        <c:noMultiLvlLbl val="0"/>
      </c:catAx>
      <c:valAx>
        <c:axId val="301186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18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[hr_dashboard_analysis.xlsx]Salary_Analysis!PivotTable4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Salary Band Distribution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Salary_Analysis!$B$3</c:f>
              <c:strCache>
                <c:ptCount val="1"/>
                <c:pt idx="0">
                  <c:v>Count of Name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Salary_Analysis!$A$4:$A$7</c:f>
              <c:strCache>
                <c:ptCount val="3"/>
                <c:pt idx="0">
                  <c:v>Junior</c:v>
                </c:pt>
                <c:pt idx="1">
                  <c:v>Mid</c:v>
                </c:pt>
                <c:pt idx="2">
                  <c:v>Senior</c:v>
                </c:pt>
              </c:strCache>
            </c:strRef>
          </c:cat>
          <c:val>
            <c:numRef>
              <c:f>Salary_Analysis!$B$4:$B$7</c:f>
              <c:numCache>
                <c:formatCode>General</c:formatCode>
                <c:ptCount val="3"/>
                <c:pt idx="0">
                  <c:v>3</c:v>
                </c:pt>
                <c:pt idx="1">
                  <c:v>4</c:v>
                </c:pt>
                <c:pt idx="2">
                  <c:v>3</c:v>
                </c:pt>
              </c:numCache>
            </c:numRef>
          </c:val>
          <c:extLst>
            <c:ext xmlns:c16="http://schemas.microsoft.com/office/drawing/2014/chart" uri="{C3380CC4-5D6E-409C-BE32-E72D297353CC}">
              <c16:uniqueId val="{00000000-BF66-4FD0-A384-55A8B79976F1}"/>
            </c:ext>
          </c:extLst>
        </c:ser>
        <c:ser>
          <c:idx val="1"/>
          <c:order val="1"/>
          <c:tx>
            <c:strRef>
              <c:f>Salary_Analysis!$C$3</c:f>
              <c:strCache>
                <c:ptCount val="1"/>
                <c:pt idx="0">
                  <c:v>Average of Salary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Salary_Analysis!$A$4:$A$7</c:f>
              <c:strCache>
                <c:ptCount val="3"/>
                <c:pt idx="0">
                  <c:v>Junior</c:v>
                </c:pt>
                <c:pt idx="1">
                  <c:v>Mid</c:v>
                </c:pt>
                <c:pt idx="2">
                  <c:v>Senior</c:v>
                </c:pt>
              </c:strCache>
            </c:strRef>
          </c:cat>
          <c:val>
            <c:numRef>
              <c:f>Salary_Analysis!$C$4:$C$7</c:f>
              <c:numCache>
                <c:formatCode>General</c:formatCode>
                <c:ptCount val="3"/>
                <c:pt idx="0">
                  <c:v>60000</c:v>
                </c:pt>
                <c:pt idx="1">
                  <c:v>75500</c:v>
                </c:pt>
                <c:pt idx="2">
                  <c:v>91000</c:v>
                </c:pt>
              </c:numCache>
            </c:numRef>
          </c:val>
          <c:extLst>
            <c:ext xmlns:c16="http://schemas.microsoft.com/office/drawing/2014/chart" uri="{C3380CC4-5D6E-409C-BE32-E72D297353CC}">
              <c16:uniqueId val="{00000001-BF66-4FD0-A384-55A8B79976F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[hr_dashboard_analysis.xlsx]Salary_Analysis!PivotTable5</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City wise Distribution</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Salary_Analysis!$F$3</c:f>
              <c:strCache>
                <c:ptCount val="1"/>
                <c:pt idx="0">
                  <c:v>Count of Name</c:v>
                </c:pt>
              </c:strCache>
            </c:strRef>
          </c:tx>
          <c:spPr>
            <a:solidFill>
              <a:schemeClr val="accent1"/>
            </a:solidFill>
            <a:ln>
              <a:noFill/>
            </a:ln>
            <a:effectLst/>
          </c:spPr>
          <c:invertIfNegative val="0"/>
          <c:cat>
            <c:strRef>
              <c:f>Salary_Analysis!$E$4:$E$8</c:f>
              <c:strCache>
                <c:ptCount val="4"/>
                <c:pt idx="0">
                  <c:v>Bangalore</c:v>
                </c:pt>
                <c:pt idx="1">
                  <c:v>Delhi</c:v>
                </c:pt>
                <c:pt idx="2">
                  <c:v>Hyderabad</c:v>
                </c:pt>
                <c:pt idx="3">
                  <c:v>Mumbai</c:v>
                </c:pt>
              </c:strCache>
            </c:strRef>
          </c:cat>
          <c:val>
            <c:numRef>
              <c:f>Salary_Analysis!$F$4:$F$8</c:f>
              <c:numCache>
                <c:formatCode>General</c:formatCode>
                <c:ptCount val="4"/>
                <c:pt idx="0">
                  <c:v>3</c:v>
                </c:pt>
                <c:pt idx="1">
                  <c:v>2</c:v>
                </c:pt>
                <c:pt idx="2">
                  <c:v>3</c:v>
                </c:pt>
                <c:pt idx="3">
                  <c:v>2</c:v>
                </c:pt>
              </c:numCache>
            </c:numRef>
          </c:val>
          <c:extLst>
            <c:ext xmlns:c16="http://schemas.microsoft.com/office/drawing/2014/chart" uri="{C3380CC4-5D6E-409C-BE32-E72D297353CC}">
              <c16:uniqueId val="{00000000-A34E-41EA-8A5B-1FE884EB2E16}"/>
            </c:ext>
          </c:extLst>
        </c:ser>
        <c:ser>
          <c:idx val="1"/>
          <c:order val="1"/>
          <c:tx>
            <c:strRef>
              <c:f>Salary_Analysis!$G$3</c:f>
              <c:strCache>
                <c:ptCount val="1"/>
                <c:pt idx="0">
                  <c:v>Average of Salary</c:v>
                </c:pt>
              </c:strCache>
            </c:strRef>
          </c:tx>
          <c:spPr>
            <a:solidFill>
              <a:schemeClr val="accent2"/>
            </a:solidFill>
            <a:ln>
              <a:noFill/>
            </a:ln>
            <a:effectLst/>
          </c:spPr>
          <c:invertIfNegative val="0"/>
          <c:cat>
            <c:strRef>
              <c:f>Salary_Analysis!$E$4:$E$8</c:f>
              <c:strCache>
                <c:ptCount val="4"/>
                <c:pt idx="0">
                  <c:v>Bangalore</c:v>
                </c:pt>
                <c:pt idx="1">
                  <c:v>Delhi</c:v>
                </c:pt>
                <c:pt idx="2">
                  <c:v>Hyderabad</c:v>
                </c:pt>
                <c:pt idx="3">
                  <c:v>Mumbai</c:v>
                </c:pt>
              </c:strCache>
            </c:strRef>
          </c:cat>
          <c:val>
            <c:numRef>
              <c:f>Salary_Analysis!$G$4:$G$8</c:f>
              <c:numCache>
                <c:formatCode>General</c:formatCode>
                <c:ptCount val="4"/>
                <c:pt idx="0">
                  <c:v>68333.333333333328</c:v>
                </c:pt>
                <c:pt idx="1">
                  <c:v>76500</c:v>
                </c:pt>
                <c:pt idx="2">
                  <c:v>83000</c:v>
                </c:pt>
                <c:pt idx="3">
                  <c:v>74000</c:v>
                </c:pt>
              </c:numCache>
            </c:numRef>
          </c:val>
          <c:extLst>
            <c:ext xmlns:c16="http://schemas.microsoft.com/office/drawing/2014/chart" uri="{C3380CC4-5D6E-409C-BE32-E72D297353CC}">
              <c16:uniqueId val="{00000001-A34E-41EA-8A5B-1FE884EB2E16}"/>
            </c:ext>
          </c:extLst>
        </c:ser>
        <c:dLbls>
          <c:showLegendKey val="0"/>
          <c:showVal val="0"/>
          <c:showCatName val="0"/>
          <c:showSerName val="0"/>
          <c:showPercent val="0"/>
          <c:showBubbleSize val="0"/>
        </c:dLbls>
        <c:gapWidth val="219"/>
        <c:overlap val="-27"/>
        <c:axId val="2028186223"/>
        <c:axId val="2028179983"/>
      </c:barChart>
      <c:catAx>
        <c:axId val="202818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179983"/>
        <c:crosses val="autoZero"/>
        <c:auto val="1"/>
        <c:lblAlgn val="ctr"/>
        <c:lblOffset val="100"/>
        <c:noMultiLvlLbl val="0"/>
      </c:catAx>
      <c:valAx>
        <c:axId val="2028179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18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[hr_dashboard_analysis.xlsx]Dept_Analysis!PivotTable1</c:name>
    <c:fmtId val="9"/>
  </c:pivotSource>
  <c:chart>
    <c:title>
      <c:tx>
        <c:rich>
          <a:bodyPr rot="0" spcFirstLastPara="1" vertOverflow="ellipsis" vert="horz" wrap="square" anchor="ctr" anchorCtr="1"/>
          <a:lstStyle/>
          <a:p>
            <a:pPr>
              <a:defRPr sz="1600" b="1" i="0" u="none" strike="noStrike" kern="1200" spc="0" baseline="0">
                <a:solidFill>
                  <a:schemeClr val="tx1">
                    <a:lumMod val="95000"/>
                    <a:lumOff val="5000"/>
                  </a:schemeClr>
                </a:solidFill>
                <a:latin typeface="+mn-lt"/>
                <a:ea typeface="+mn-ea"/>
                <a:cs typeface="+mn-cs"/>
              </a:defRPr>
            </a:pPr>
            <a:r>
              <a:rPr lang="en-IN" sz="1600" b="1">
                <a:solidFill>
                  <a:schemeClr val="tx1">
                    <a:lumMod val="95000"/>
                    <a:lumOff val="5000"/>
                  </a:schemeClr>
                </a:solidFill>
              </a:rPr>
              <a:t>Dept Headcount &amp; Salary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95000"/>
                  <a:lumOff val="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Dept_Analysis!$D$1</c:f>
              <c:strCache>
                <c:ptCount val="1"/>
                <c:pt idx="0">
                  <c:v>Count of Name</c:v>
                </c:pt>
              </c:strCache>
            </c:strRef>
          </c:tx>
          <c:spPr>
            <a:solidFill>
              <a:schemeClr val="accent1"/>
            </a:solidFill>
            <a:ln>
              <a:noFill/>
            </a:ln>
            <a:effectLst/>
          </c:spPr>
          <c:invertIfNegative val="0"/>
          <c:cat>
            <c:strRef>
              <c:f>Dept_Analysis!$C$2:$C$6</c:f>
              <c:strCache>
                <c:ptCount val="4"/>
                <c:pt idx="0">
                  <c:v>Engineering</c:v>
                </c:pt>
                <c:pt idx="1">
                  <c:v>Finance</c:v>
                </c:pt>
                <c:pt idx="2">
                  <c:v>HR</c:v>
                </c:pt>
                <c:pt idx="3">
                  <c:v>Sales</c:v>
                </c:pt>
              </c:strCache>
            </c:strRef>
          </c:cat>
          <c:val>
            <c:numRef>
              <c:f>Dept_Analysis!$D$2:$D$6</c:f>
              <c:numCache>
                <c:formatCode>General</c:formatCode>
                <c:ptCount val="4"/>
                <c:pt idx="0">
                  <c:v>3</c:v>
                </c:pt>
                <c:pt idx="1">
                  <c:v>2</c:v>
                </c:pt>
                <c:pt idx="2">
                  <c:v>2</c:v>
                </c:pt>
                <c:pt idx="3">
                  <c:v>3</c:v>
                </c:pt>
              </c:numCache>
            </c:numRef>
          </c:val>
          <c:extLst>
            <c:ext xmlns:c16="http://schemas.microsoft.com/office/drawing/2014/chart" uri="{C3380CC4-5D6E-409C-BE32-E72D297353CC}">
              <c16:uniqueId val="{00000000-A707-4F40-BAD0-FC81EE9964F8}"/>
            </c:ext>
          </c:extLst>
        </c:ser>
        <c:ser>
          <c:idx val="1"/>
          <c:order val="1"/>
          <c:tx>
            <c:strRef>
              <c:f>Dept_Analysis!$E$1</c:f>
              <c:strCache>
                <c:ptCount val="1"/>
                <c:pt idx="0">
                  <c:v>Sum of Salary</c:v>
                </c:pt>
              </c:strCache>
            </c:strRef>
          </c:tx>
          <c:spPr>
            <a:solidFill>
              <a:schemeClr val="accent2"/>
            </a:solidFill>
            <a:ln>
              <a:noFill/>
            </a:ln>
            <a:effectLst/>
          </c:spPr>
          <c:invertIfNegative val="0"/>
          <c:cat>
            <c:strRef>
              <c:f>Dept_Analysis!$C$2:$C$6</c:f>
              <c:strCache>
                <c:ptCount val="4"/>
                <c:pt idx="0">
                  <c:v>Engineering</c:v>
                </c:pt>
                <c:pt idx="1">
                  <c:v>Finance</c:v>
                </c:pt>
                <c:pt idx="2">
                  <c:v>HR</c:v>
                </c:pt>
                <c:pt idx="3">
                  <c:v>Sales</c:v>
                </c:pt>
              </c:strCache>
            </c:strRef>
          </c:cat>
          <c:val>
            <c:numRef>
              <c:f>Dept_Analysis!$E$2:$E$6</c:f>
              <c:numCache>
                <c:formatCode>General</c:formatCode>
                <c:ptCount val="4"/>
                <c:pt idx="0">
                  <c:v>249000</c:v>
                </c:pt>
                <c:pt idx="1">
                  <c:v>153000</c:v>
                </c:pt>
                <c:pt idx="2">
                  <c:v>148000</c:v>
                </c:pt>
                <c:pt idx="3">
                  <c:v>205000</c:v>
                </c:pt>
              </c:numCache>
            </c:numRef>
          </c:val>
          <c:extLst>
            <c:ext xmlns:c16="http://schemas.microsoft.com/office/drawing/2014/chart" uri="{C3380CC4-5D6E-409C-BE32-E72D297353CC}">
              <c16:uniqueId val="{00000001-A707-4F40-BAD0-FC81EE9964F8}"/>
            </c:ext>
          </c:extLst>
        </c:ser>
        <c:ser>
          <c:idx val="2"/>
          <c:order val="2"/>
          <c:tx>
            <c:strRef>
              <c:f>Dept_Analysis!$F$1</c:f>
              <c:strCache>
                <c:ptCount val="1"/>
                <c:pt idx="0">
                  <c:v>Average of Salary</c:v>
                </c:pt>
              </c:strCache>
            </c:strRef>
          </c:tx>
          <c:spPr>
            <a:solidFill>
              <a:schemeClr val="accent3"/>
            </a:solidFill>
            <a:ln>
              <a:noFill/>
            </a:ln>
            <a:effectLst/>
          </c:spPr>
          <c:invertIfNegative val="0"/>
          <c:cat>
            <c:strRef>
              <c:f>Dept_Analysis!$C$2:$C$6</c:f>
              <c:strCache>
                <c:ptCount val="4"/>
                <c:pt idx="0">
                  <c:v>Engineering</c:v>
                </c:pt>
                <c:pt idx="1">
                  <c:v>Finance</c:v>
                </c:pt>
                <c:pt idx="2">
                  <c:v>HR</c:v>
                </c:pt>
                <c:pt idx="3">
                  <c:v>Sales</c:v>
                </c:pt>
              </c:strCache>
            </c:strRef>
          </c:cat>
          <c:val>
            <c:numRef>
              <c:f>Dept_Analysis!$F$2:$F$6</c:f>
              <c:numCache>
                <c:formatCode>General</c:formatCode>
                <c:ptCount val="4"/>
                <c:pt idx="0">
                  <c:v>83000</c:v>
                </c:pt>
                <c:pt idx="1">
                  <c:v>76500</c:v>
                </c:pt>
                <c:pt idx="2">
                  <c:v>74000</c:v>
                </c:pt>
                <c:pt idx="3">
                  <c:v>68333.333333333328</c:v>
                </c:pt>
              </c:numCache>
            </c:numRef>
          </c:val>
          <c:extLst>
            <c:ext xmlns:c16="http://schemas.microsoft.com/office/drawing/2014/chart" uri="{C3380CC4-5D6E-409C-BE32-E72D297353CC}">
              <c16:uniqueId val="{00000002-A707-4F40-BAD0-FC81EE9964F8}"/>
            </c:ext>
          </c:extLst>
        </c:ser>
        <c:dLbls>
          <c:showLegendKey val="0"/>
          <c:showVal val="0"/>
          <c:showCatName val="0"/>
          <c:showSerName val="0"/>
          <c:showPercent val="0"/>
          <c:showBubbleSize val="0"/>
        </c:dLbls>
        <c:gapWidth val="219"/>
        <c:overlap val="-27"/>
        <c:axId val="1448462863"/>
        <c:axId val="1448457103"/>
      </c:barChart>
      <c:catAx>
        <c:axId val="144846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457103"/>
        <c:crosses val="autoZero"/>
        <c:auto val="1"/>
        <c:lblAlgn val="ctr"/>
        <c:lblOffset val="100"/>
        <c:noMultiLvlLbl val="0"/>
      </c:catAx>
      <c:valAx>
        <c:axId val="1448457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462863"/>
        <c:crosses val="autoZero"/>
        <c:crossBetween val="between"/>
      </c:valAx>
      <c:spPr>
        <a:noFill/>
        <a:ln>
          <a:noFill/>
        </a:ln>
        <a:effectLst/>
      </c:spPr>
    </c:plotArea>
    <c:legend>
      <c:legendPos val="r"/>
      <c:layout>
        <c:manualLayout>
          <c:xMode val="edge"/>
          <c:yMode val="edge"/>
          <c:x val="0.74235066954210338"/>
          <c:y val="0.4028517721756929"/>
          <c:w val="0.2385410502031195"/>
          <c:h val="0.255463564401929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[hr_dashboard_analysis.xlsx]Salary_Analysis!PivotTable5</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Avg</a:t>
            </a:r>
            <a:r>
              <a:rPr lang="en-IN" sz="1600" b="1" baseline="0">
                <a:solidFill>
                  <a:schemeClr val="tx1"/>
                </a:solidFill>
              </a:rPr>
              <a:t> Salary by City</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Salary_Analysis!$F$3</c:f>
              <c:strCache>
                <c:ptCount val="1"/>
                <c:pt idx="0">
                  <c:v>Count of Name</c:v>
                </c:pt>
              </c:strCache>
            </c:strRef>
          </c:tx>
          <c:spPr>
            <a:solidFill>
              <a:schemeClr val="accent1"/>
            </a:solidFill>
            <a:ln>
              <a:noFill/>
            </a:ln>
            <a:effectLst/>
          </c:spPr>
          <c:invertIfNegative val="0"/>
          <c:cat>
            <c:strRef>
              <c:f>Salary_Analysis!$E$4:$E$8</c:f>
              <c:strCache>
                <c:ptCount val="4"/>
                <c:pt idx="0">
                  <c:v>Bangalore</c:v>
                </c:pt>
                <c:pt idx="1">
                  <c:v>Delhi</c:v>
                </c:pt>
                <c:pt idx="2">
                  <c:v>Hyderabad</c:v>
                </c:pt>
                <c:pt idx="3">
                  <c:v>Mumbai</c:v>
                </c:pt>
              </c:strCache>
            </c:strRef>
          </c:cat>
          <c:val>
            <c:numRef>
              <c:f>Salary_Analysis!$F$4:$F$8</c:f>
              <c:numCache>
                <c:formatCode>General</c:formatCode>
                <c:ptCount val="4"/>
                <c:pt idx="0">
                  <c:v>3</c:v>
                </c:pt>
                <c:pt idx="1">
                  <c:v>2</c:v>
                </c:pt>
                <c:pt idx="2">
                  <c:v>3</c:v>
                </c:pt>
                <c:pt idx="3">
                  <c:v>2</c:v>
                </c:pt>
              </c:numCache>
            </c:numRef>
          </c:val>
          <c:extLst>
            <c:ext xmlns:c16="http://schemas.microsoft.com/office/drawing/2014/chart" uri="{C3380CC4-5D6E-409C-BE32-E72D297353CC}">
              <c16:uniqueId val="{00000000-0A0F-47A7-93C8-0EEBC085128F}"/>
            </c:ext>
          </c:extLst>
        </c:ser>
        <c:ser>
          <c:idx val="1"/>
          <c:order val="1"/>
          <c:tx>
            <c:strRef>
              <c:f>Salary_Analysis!$G$3</c:f>
              <c:strCache>
                <c:ptCount val="1"/>
                <c:pt idx="0">
                  <c:v>Average of Salary</c:v>
                </c:pt>
              </c:strCache>
            </c:strRef>
          </c:tx>
          <c:spPr>
            <a:solidFill>
              <a:schemeClr val="accent2"/>
            </a:solidFill>
            <a:ln>
              <a:noFill/>
            </a:ln>
            <a:effectLst/>
          </c:spPr>
          <c:invertIfNegative val="0"/>
          <c:cat>
            <c:strRef>
              <c:f>Salary_Analysis!$E$4:$E$8</c:f>
              <c:strCache>
                <c:ptCount val="4"/>
                <c:pt idx="0">
                  <c:v>Bangalore</c:v>
                </c:pt>
                <c:pt idx="1">
                  <c:v>Delhi</c:v>
                </c:pt>
                <c:pt idx="2">
                  <c:v>Hyderabad</c:v>
                </c:pt>
                <c:pt idx="3">
                  <c:v>Mumbai</c:v>
                </c:pt>
              </c:strCache>
            </c:strRef>
          </c:cat>
          <c:val>
            <c:numRef>
              <c:f>Salary_Analysis!$G$4:$G$8</c:f>
              <c:numCache>
                <c:formatCode>General</c:formatCode>
                <c:ptCount val="4"/>
                <c:pt idx="0">
                  <c:v>68333.333333333328</c:v>
                </c:pt>
                <c:pt idx="1">
                  <c:v>76500</c:v>
                </c:pt>
                <c:pt idx="2">
                  <c:v>83000</c:v>
                </c:pt>
                <c:pt idx="3">
                  <c:v>74000</c:v>
                </c:pt>
              </c:numCache>
            </c:numRef>
          </c:val>
          <c:extLst>
            <c:ext xmlns:c16="http://schemas.microsoft.com/office/drawing/2014/chart" uri="{C3380CC4-5D6E-409C-BE32-E72D297353CC}">
              <c16:uniqueId val="{00000001-0A0F-47A7-93C8-0EEBC085128F}"/>
            </c:ext>
          </c:extLst>
        </c:ser>
        <c:dLbls>
          <c:showLegendKey val="0"/>
          <c:showVal val="0"/>
          <c:showCatName val="0"/>
          <c:showSerName val="0"/>
          <c:showPercent val="0"/>
          <c:showBubbleSize val="0"/>
        </c:dLbls>
        <c:gapWidth val="219"/>
        <c:overlap val="-27"/>
        <c:axId val="2028186223"/>
        <c:axId val="2028179983"/>
      </c:barChart>
      <c:catAx>
        <c:axId val="202818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179983"/>
        <c:crosses val="autoZero"/>
        <c:auto val="1"/>
        <c:lblAlgn val="ctr"/>
        <c:lblOffset val="100"/>
        <c:noMultiLvlLbl val="0"/>
      </c:catAx>
      <c:valAx>
        <c:axId val="2028179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186223"/>
        <c:crosses val="autoZero"/>
        <c:crossBetween val="between"/>
      </c:valAx>
      <c:spPr>
        <a:noFill/>
        <a:ln>
          <a:noFill/>
        </a:ln>
        <a:effectLst/>
      </c:spPr>
    </c:plotArea>
    <c:legend>
      <c:legendPos val="r"/>
      <c:layout>
        <c:manualLayout>
          <c:xMode val="edge"/>
          <c:yMode val="edge"/>
          <c:x val="0.73151395275590547"/>
          <c:y val="0.44775194767320753"/>
          <c:w val="0.24928604724409445"/>
          <c:h val="0.202538432695913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[hr_dashboard_analysis.xlsx]Salary_Analysis!PivotTable4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tx1"/>
                </a:solidFill>
              </a:rPr>
              <a:t>Salary Band Distribution</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Salary_Analysis!$B$3</c:f>
              <c:strCache>
                <c:ptCount val="1"/>
                <c:pt idx="0">
                  <c:v>Count of Name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02-4C49-B6B5-326C4DF2AF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02-4C49-B6B5-326C4DF2AF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02-4C49-B6B5-326C4DF2AF5B}"/>
              </c:ext>
            </c:extLst>
          </c:dPt>
          <c:cat>
            <c:strRef>
              <c:f>Salary_Analysis!$A$4:$A$7</c:f>
              <c:strCache>
                <c:ptCount val="3"/>
                <c:pt idx="0">
                  <c:v>Junior</c:v>
                </c:pt>
                <c:pt idx="1">
                  <c:v>Mid</c:v>
                </c:pt>
                <c:pt idx="2">
                  <c:v>Senior</c:v>
                </c:pt>
              </c:strCache>
            </c:strRef>
          </c:cat>
          <c:val>
            <c:numRef>
              <c:f>Salary_Analysis!$B$4:$B$7</c:f>
              <c:numCache>
                <c:formatCode>General</c:formatCode>
                <c:ptCount val="3"/>
                <c:pt idx="0">
                  <c:v>3</c:v>
                </c:pt>
                <c:pt idx="1">
                  <c:v>4</c:v>
                </c:pt>
                <c:pt idx="2">
                  <c:v>3</c:v>
                </c:pt>
              </c:numCache>
            </c:numRef>
          </c:val>
          <c:extLst>
            <c:ext xmlns:c16="http://schemas.microsoft.com/office/drawing/2014/chart" uri="{C3380CC4-5D6E-409C-BE32-E72D297353CC}">
              <c16:uniqueId val="{00000006-8702-4C49-B6B5-326C4DF2AF5B}"/>
            </c:ext>
          </c:extLst>
        </c:ser>
        <c:ser>
          <c:idx val="1"/>
          <c:order val="1"/>
          <c:tx>
            <c:strRef>
              <c:f>Salary_Analysis!$C$3</c:f>
              <c:strCache>
                <c:ptCount val="1"/>
                <c:pt idx="0">
                  <c:v>Average of Salary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8702-4C49-B6B5-326C4DF2AF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8702-4C49-B6B5-326C4DF2AF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8702-4C49-B6B5-326C4DF2AF5B}"/>
              </c:ext>
            </c:extLst>
          </c:dPt>
          <c:cat>
            <c:strRef>
              <c:f>Salary_Analysis!$A$4:$A$7</c:f>
              <c:strCache>
                <c:ptCount val="3"/>
                <c:pt idx="0">
                  <c:v>Junior</c:v>
                </c:pt>
                <c:pt idx="1">
                  <c:v>Mid</c:v>
                </c:pt>
                <c:pt idx="2">
                  <c:v>Senior</c:v>
                </c:pt>
              </c:strCache>
            </c:strRef>
          </c:cat>
          <c:val>
            <c:numRef>
              <c:f>Salary_Analysis!$C$4:$C$7</c:f>
              <c:numCache>
                <c:formatCode>General</c:formatCode>
                <c:ptCount val="3"/>
                <c:pt idx="0">
                  <c:v>60000</c:v>
                </c:pt>
                <c:pt idx="1">
                  <c:v>75500</c:v>
                </c:pt>
                <c:pt idx="2">
                  <c:v>91000</c:v>
                </c:pt>
              </c:numCache>
            </c:numRef>
          </c:val>
          <c:extLst>
            <c:ext xmlns:c16="http://schemas.microsoft.com/office/drawing/2014/chart" uri="{C3380CC4-5D6E-409C-BE32-E72D297353CC}">
              <c16:uniqueId val="{0000000D-8702-4C49-B6B5-326C4DF2AF5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035143769968052"/>
          <c:y val="0.39717769149824012"/>
          <c:w val="0.20367412140575081"/>
          <c:h val="0.263386552487390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[hr_dashboard_analysis.xlsx]Sales_Analysis!PivotTable10</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600" b="1" i="0" u="none" strike="noStrike" kern="1200" spc="0" baseline="0">
                <a:solidFill>
                  <a:schemeClr val="tx1"/>
                </a:solidFill>
              </a:rPr>
              <a:t>Sales vs Target by Employee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Sales_Analysis!$B$2</c:f>
              <c:strCache>
                <c:ptCount val="1"/>
                <c:pt idx="0">
                  <c:v>Sum of TotalSales</c:v>
                </c:pt>
              </c:strCache>
            </c:strRef>
          </c:tx>
          <c:spPr>
            <a:solidFill>
              <a:schemeClr val="accent1"/>
            </a:solidFill>
            <a:ln>
              <a:noFill/>
            </a:ln>
            <a:effectLst/>
          </c:spPr>
          <c:invertIfNegative val="0"/>
          <c:cat>
            <c:strRef>
              <c:f>Sales_Analysis!$A$3:$A$12</c:f>
              <c:strCache>
                <c:ptCount val="9"/>
                <c:pt idx="0">
                  <c:v>Arjun</c:v>
                </c:pt>
                <c:pt idx="1">
                  <c:v>Divya</c:v>
                </c:pt>
                <c:pt idx="2">
                  <c:v>Kiran</c:v>
                </c:pt>
                <c:pt idx="3">
                  <c:v>Meera</c:v>
                </c:pt>
                <c:pt idx="4">
                  <c:v>Priya</c:v>
                </c:pt>
                <c:pt idx="5">
                  <c:v>Rahul</c:v>
                </c:pt>
                <c:pt idx="6">
                  <c:v>Ravi</c:v>
                </c:pt>
                <c:pt idx="7">
                  <c:v>Sneha</c:v>
                </c:pt>
                <c:pt idx="8">
                  <c:v>Suresh</c:v>
                </c:pt>
              </c:strCache>
            </c:strRef>
          </c:cat>
          <c:val>
            <c:numRef>
              <c:f>Sales_Analysis!$B$3:$B$12</c:f>
              <c:numCache>
                <c:formatCode>General</c:formatCode>
                <c:ptCount val="9"/>
                <c:pt idx="0">
                  <c:v>120000</c:v>
                </c:pt>
                <c:pt idx="1">
                  <c:v>110000</c:v>
                </c:pt>
                <c:pt idx="2">
                  <c:v>45000</c:v>
                </c:pt>
                <c:pt idx="3">
                  <c:v>130000</c:v>
                </c:pt>
                <c:pt idx="4">
                  <c:v>85000</c:v>
                </c:pt>
                <c:pt idx="5">
                  <c:v>90000</c:v>
                </c:pt>
                <c:pt idx="6">
                  <c:v>70000</c:v>
                </c:pt>
                <c:pt idx="7">
                  <c:v>80000</c:v>
                </c:pt>
                <c:pt idx="8">
                  <c:v>60000</c:v>
                </c:pt>
              </c:numCache>
            </c:numRef>
          </c:val>
          <c:extLst>
            <c:ext xmlns:c16="http://schemas.microsoft.com/office/drawing/2014/chart" uri="{C3380CC4-5D6E-409C-BE32-E72D297353CC}">
              <c16:uniqueId val="{00000000-0885-4424-AE33-11FCE827DEC1}"/>
            </c:ext>
          </c:extLst>
        </c:ser>
        <c:ser>
          <c:idx val="1"/>
          <c:order val="1"/>
          <c:tx>
            <c:strRef>
              <c:f>Sales_Analysis!$C$2</c:f>
              <c:strCache>
                <c:ptCount val="1"/>
                <c:pt idx="0">
                  <c:v>Sum of TotalTarget</c:v>
                </c:pt>
              </c:strCache>
            </c:strRef>
          </c:tx>
          <c:spPr>
            <a:solidFill>
              <a:schemeClr val="accent2"/>
            </a:solidFill>
            <a:ln>
              <a:noFill/>
            </a:ln>
            <a:effectLst/>
          </c:spPr>
          <c:invertIfNegative val="0"/>
          <c:cat>
            <c:strRef>
              <c:f>Sales_Analysis!$A$3:$A$12</c:f>
              <c:strCache>
                <c:ptCount val="9"/>
                <c:pt idx="0">
                  <c:v>Arjun</c:v>
                </c:pt>
                <c:pt idx="1">
                  <c:v>Divya</c:v>
                </c:pt>
                <c:pt idx="2">
                  <c:v>Kiran</c:v>
                </c:pt>
                <c:pt idx="3">
                  <c:v>Meera</c:v>
                </c:pt>
                <c:pt idx="4">
                  <c:v>Priya</c:v>
                </c:pt>
                <c:pt idx="5">
                  <c:v>Rahul</c:v>
                </c:pt>
                <c:pt idx="6">
                  <c:v>Ravi</c:v>
                </c:pt>
                <c:pt idx="7">
                  <c:v>Sneha</c:v>
                </c:pt>
                <c:pt idx="8">
                  <c:v>Suresh</c:v>
                </c:pt>
              </c:strCache>
            </c:strRef>
          </c:cat>
          <c:val>
            <c:numRef>
              <c:f>Sales_Analysis!$C$3:$C$12</c:f>
              <c:numCache>
                <c:formatCode>General</c:formatCode>
                <c:ptCount val="9"/>
                <c:pt idx="0">
                  <c:v>100000</c:v>
                </c:pt>
                <c:pt idx="1">
                  <c:v>100000</c:v>
                </c:pt>
                <c:pt idx="2">
                  <c:v>50000</c:v>
                </c:pt>
                <c:pt idx="3">
                  <c:v>120000</c:v>
                </c:pt>
                <c:pt idx="4">
                  <c:v>80000</c:v>
                </c:pt>
                <c:pt idx="5">
                  <c:v>85000</c:v>
                </c:pt>
                <c:pt idx="6">
                  <c:v>90000</c:v>
                </c:pt>
                <c:pt idx="7">
                  <c:v>75000</c:v>
                </c:pt>
                <c:pt idx="8">
                  <c:v>65000</c:v>
                </c:pt>
              </c:numCache>
            </c:numRef>
          </c:val>
          <c:extLst>
            <c:ext xmlns:c16="http://schemas.microsoft.com/office/drawing/2014/chart" uri="{C3380CC4-5D6E-409C-BE32-E72D297353CC}">
              <c16:uniqueId val="{00000001-0885-4424-AE33-11FCE827DEC1}"/>
            </c:ext>
          </c:extLst>
        </c:ser>
        <c:dLbls>
          <c:showLegendKey val="0"/>
          <c:showVal val="0"/>
          <c:showCatName val="0"/>
          <c:showSerName val="0"/>
          <c:showPercent val="0"/>
          <c:showBubbleSize val="0"/>
        </c:dLbls>
        <c:gapWidth val="219"/>
        <c:overlap val="-27"/>
        <c:axId val="301172975"/>
        <c:axId val="301163375"/>
      </c:barChart>
      <c:catAx>
        <c:axId val="30117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163375"/>
        <c:crosses val="autoZero"/>
        <c:auto val="1"/>
        <c:lblAlgn val="ctr"/>
        <c:lblOffset val="100"/>
        <c:noMultiLvlLbl val="0"/>
      </c:catAx>
      <c:valAx>
        <c:axId val="301163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172975"/>
        <c:crosses val="autoZero"/>
        <c:crossBetween val="between"/>
      </c:valAx>
      <c:spPr>
        <a:noFill/>
        <a:ln>
          <a:noFill/>
        </a:ln>
        <a:effectLst/>
      </c:spPr>
    </c:plotArea>
    <c:legend>
      <c:legendPos val="r"/>
      <c:layout>
        <c:manualLayout>
          <c:xMode val="edge"/>
          <c:yMode val="edge"/>
          <c:x val="0.71812157480314964"/>
          <c:y val="0.45407031679179638"/>
          <c:w val="0.26267842519685042"/>
          <c:h val="0.182696575718732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[hr_dashboard_analysis.xlsx]Sales_Analysis!PivotTable11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kern="1200" spc="0" baseline="0">
                <a:solidFill>
                  <a:schemeClr val="tx1"/>
                </a:solidFill>
              </a:rPr>
              <a:t>Region Sales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Sales_Analysis!$G$2</c:f>
              <c:strCache>
                <c:ptCount val="1"/>
                <c:pt idx="0">
                  <c:v>Total</c:v>
                </c:pt>
              </c:strCache>
            </c:strRef>
          </c:tx>
          <c:spPr>
            <a:solidFill>
              <a:schemeClr val="accent1"/>
            </a:solidFill>
            <a:ln>
              <a:noFill/>
            </a:ln>
            <a:effectLst/>
          </c:spPr>
          <c:invertIfNegative val="0"/>
          <c:cat>
            <c:strRef>
              <c:f>Sales_Analysis!$F$3:$F$7</c:f>
              <c:strCache>
                <c:ptCount val="4"/>
                <c:pt idx="0">
                  <c:v>East</c:v>
                </c:pt>
                <c:pt idx="1">
                  <c:v>North</c:v>
                </c:pt>
                <c:pt idx="2">
                  <c:v>South</c:v>
                </c:pt>
                <c:pt idx="3">
                  <c:v>West</c:v>
                </c:pt>
              </c:strCache>
            </c:strRef>
          </c:cat>
          <c:val>
            <c:numRef>
              <c:f>Sales_Analysis!$G$3:$G$7</c:f>
              <c:numCache>
                <c:formatCode>General</c:formatCode>
                <c:ptCount val="4"/>
                <c:pt idx="0">
                  <c:v>170000</c:v>
                </c:pt>
                <c:pt idx="1">
                  <c:v>175000</c:v>
                </c:pt>
                <c:pt idx="2">
                  <c:v>390000</c:v>
                </c:pt>
                <c:pt idx="3">
                  <c:v>150000</c:v>
                </c:pt>
              </c:numCache>
            </c:numRef>
          </c:val>
          <c:extLst>
            <c:ext xmlns:c16="http://schemas.microsoft.com/office/drawing/2014/chart" uri="{C3380CC4-5D6E-409C-BE32-E72D297353CC}">
              <c16:uniqueId val="{00000000-4B45-4FF2-93E6-C9B6B9C96035}"/>
            </c:ext>
          </c:extLst>
        </c:ser>
        <c:dLbls>
          <c:showLegendKey val="0"/>
          <c:showVal val="0"/>
          <c:showCatName val="0"/>
          <c:showSerName val="0"/>
          <c:showPercent val="0"/>
          <c:showBubbleSize val="0"/>
        </c:dLbls>
        <c:gapWidth val="219"/>
        <c:overlap val="-27"/>
        <c:axId val="301185455"/>
        <c:axId val="301186895"/>
      </c:barChart>
      <c:catAx>
        <c:axId val="3011854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186895"/>
        <c:crosses val="autoZero"/>
        <c:auto val="1"/>
        <c:lblAlgn val="ctr"/>
        <c:lblOffset val="100"/>
        <c:noMultiLvlLbl val="0"/>
      </c:catAx>
      <c:valAx>
        <c:axId val="301186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18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603250</xdr:colOff>
      <xdr:row>6</xdr:row>
      <xdr:rowOff>60325</xdr:rowOff>
    </xdr:from>
    <xdr:to>
      <xdr:col>6</xdr:col>
      <xdr:colOff>12700</xdr:colOff>
      <xdr:row>21</xdr:row>
      <xdr:rowOff>95251</xdr:rowOff>
    </xdr:to>
    <xdr:graphicFrame macro="">
      <xdr:nvGraphicFramePr>
        <xdr:cNvPr id="2" name="Chart 1">
          <a:extLst>
            <a:ext uri="{FF2B5EF4-FFF2-40B4-BE49-F238E27FC236}">
              <a16:creationId xmlns:a16="http://schemas.microsoft.com/office/drawing/2014/main" id="{D37E36F1-0200-AABF-5437-4AF6080CC6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139700</xdr:colOff>
      <xdr:row>0</xdr:row>
      <xdr:rowOff>0</xdr:rowOff>
    </xdr:from>
    <xdr:to>
      <xdr:col>9</xdr:col>
      <xdr:colOff>184150</xdr:colOff>
      <xdr:row>8</xdr:row>
      <xdr:rowOff>12699</xdr:rowOff>
    </xdr:to>
    <mc:AlternateContent xmlns:mc="http://schemas.openxmlformats.org/markup-compatibility/2006">
      <mc:Choice xmlns:a14="http://schemas.microsoft.com/office/drawing/2010/main" Requires="a14">
        <xdr:graphicFrame macro="">
          <xdr:nvGraphicFramePr>
            <xdr:cNvPr id="4" name="DeptName">
              <a:extLst>
                <a:ext uri="{FF2B5EF4-FFF2-40B4-BE49-F238E27FC236}">
                  <a16:creationId xmlns:a16="http://schemas.microsoft.com/office/drawing/2014/main" id="{5F64A8CC-D0D2-DF9D-DF81-DAA2ACB78BF8}"/>
                </a:ext>
              </a:extLst>
            </xdr:cNvPr>
            <xdr:cNvGraphicFramePr/>
          </xdr:nvGraphicFramePr>
          <xdr:xfrm>
            <a:off x="0" y="0"/>
            <a:ext cx="0" cy="0"/>
          </xdr:xfrm>
          <a:graphic>
            <a:graphicData uri="http://schemas.microsoft.com/office/drawing/2010/slicer">
              <sle:slicer xmlns:sle="http://schemas.microsoft.com/office/drawing/2010/slicer" name="DeptName"/>
            </a:graphicData>
          </a:graphic>
        </xdr:graphicFrame>
      </mc:Choice>
      <mc:Fallback>
        <xdr:sp macro="" textlink="">
          <xdr:nvSpPr>
            <xdr:cNvPr id="0" name=""/>
            <xdr:cNvSpPr>
              <a:spLocks noTextEdit="1"/>
            </xdr:cNvSpPr>
          </xdr:nvSpPr>
          <xdr:spPr>
            <a:xfrm>
              <a:off x="5080000" y="0"/>
              <a:ext cx="1193800" cy="1485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13</xdr:row>
      <xdr:rowOff>15875</xdr:rowOff>
    </xdr:from>
    <xdr:to>
      <xdr:col>4</xdr:col>
      <xdr:colOff>0</xdr:colOff>
      <xdr:row>27</xdr:row>
      <xdr:rowOff>180975</xdr:rowOff>
    </xdr:to>
    <xdr:graphicFrame macro="">
      <xdr:nvGraphicFramePr>
        <xdr:cNvPr id="9" name="Chart 8">
          <a:extLst>
            <a:ext uri="{FF2B5EF4-FFF2-40B4-BE49-F238E27FC236}">
              <a16:creationId xmlns:a16="http://schemas.microsoft.com/office/drawing/2014/main" id="{3585E1AF-C563-9B43-21E4-C9EE811AD5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69850</xdr:colOff>
      <xdr:row>13</xdr:row>
      <xdr:rowOff>3175</xdr:rowOff>
    </xdr:from>
    <xdr:to>
      <xdr:col>8</xdr:col>
      <xdr:colOff>203200</xdr:colOff>
      <xdr:row>27</xdr:row>
      <xdr:rowOff>177800</xdr:rowOff>
    </xdr:to>
    <xdr:graphicFrame macro="">
      <xdr:nvGraphicFramePr>
        <xdr:cNvPr id="10" name="Chart 9">
          <a:extLst>
            <a:ext uri="{FF2B5EF4-FFF2-40B4-BE49-F238E27FC236}">
              <a16:creationId xmlns:a16="http://schemas.microsoft.com/office/drawing/2014/main" id="{01955FBC-73AA-053A-B8B8-52D8DC5A31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349250</xdr:colOff>
      <xdr:row>1</xdr:row>
      <xdr:rowOff>6350</xdr:rowOff>
    </xdr:from>
    <xdr:to>
      <xdr:col>4</xdr:col>
      <xdr:colOff>393700</xdr:colOff>
      <xdr:row>9</xdr:row>
      <xdr:rowOff>69850</xdr:rowOff>
    </xdr:to>
    <mc:AlternateContent xmlns:mc="http://schemas.openxmlformats.org/markup-compatibility/2006">
      <mc:Choice xmlns:a14="http://schemas.microsoft.com/office/drawing/2010/main" Requires="a14">
        <xdr:graphicFrame macro="">
          <xdr:nvGraphicFramePr>
            <xdr:cNvPr id="11" name="DeptName 2">
              <a:extLst>
                <a:ext uri="{FF2B5EF4-FFF2-40B4-BE49-F238E27FC236}">
                  <a16:creationId xmlns:a16="http://schemas.microsoft.com/office/drawing/2014/main" id="{6417093B-ADAA-55C9-2AD8-D1FDAA20033D}"/>
                </a:ext>
              </a:extLst>
            </xdr:cNvPr>
            <xdr:cNvGraphicFramePr/>
          </xdr:nvGraphicFramePr>
          <xdr:xfrm>
            <a:off x="0" y="0"/>
            <a:ext cx="0" cy="0"/>
          </xdr:xfrm>
          <a:graphic>
            <a:graphicData uri="http://schemas.microsoft.com/office/drawing/2010/slicer">
              <sle:slicer xmlns:sle="http://schemas.microsoft.com/office/drawing/2010/slicer" name="DeptName 2"/>
            </a:graphicData>
          </a:graphic>
        </xdr:graphicFrame>
      </mc:Choice>
      <mc:Fallback>
        <xdr:sp macro="" textlink="">
          <xdr:nvSpPr>
            <xdr:cNvPr id="0" name=""/>
            <xdr:cNvSpPr>
              <a:spLocks noTextEdit="1"/>
            </xdr:cNvSpPr>
          </xdr:nvSpPr>
          <xdr:spPr>
            <a:xfrm>
              <a:off x="3479800" y="190500"/>
              <a:ext cx="1498600" cy="1536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25400</xdr:colOff>
      <xdr:row>9</xdr:row>
      <xdr:rowOff>6351</xdr:rowOff>
    </xdr:from>
    <xdr:to>
      <xdr:col>3</xdr:col>
      <xdr:colOff>76200</xdr:colOff>
      <xdr:row>21</xdr:row>
      <xdr:rowOff>107951</xdr:rowOff>
    </xdr:to>
    <xdr:graphicFrame macro="">
      <xdr:nvGraphicFramePr>
        <xdr:cNvPr id="2" name="Chart 1">
          <a:extLst>
            <a:ext uri="{FF2B5EF4-FFF2-40B4-BE49-F238E27FC236}">
              <a16:creationId xmlns:a16="http://schemas.microsoft.com/office/drawing/2014/main" id="{A98C0F22-5162-2D4C-2371-B040193C47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314325</xdr:colOff>
      <xdr:row>9</xdr:row>
      <xdr:rowOff>47625</xdr:rowOff>
    </xdr:from>
    <xdr:to>
      <xdr:col>8</xdr:col>
      <xdr:colOff>171450</xdr:colOff>
      <xdr:row>21</xdr:row>
      <xdr:rowOff>127000</xdr:rowOff>
    </xdr:to>
    <xdr:graphicFrame macro="">
      <xdr:nvGraphicFramePr>
        <xdr:cNvPr id="6" name="Chart 5">
          <a:extLst>
            <a:ext uri="{FF2B5EF4-FFF2-40B4-BE49-F238E27FC236}">
              <a16:creationId xmlns:a16="http://schemas.microsoft.com/office/drawing/2014/main" id="{8BE22BC1-FA0B-8273-D0B5-F0ABF42F1F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3</xdr:row>
      <xdr:rowOff>0</xdr:rowOff>
    </xdr:from>
    <xdr:to>
      <xdr:col>4</xdr:col>
      <xdr:colOff>0</xdr:colOff>
      <xdr:row>16</xdr:row>
      <xdr:rowOff>0</xdr:rowOff>
    </xdr:to>
    <xdr:graphicFrame macro="">
      <xdr:nvGraphicFramePr>
        <xdr:cNvPr id="4" name="Chart 3">
          <a:extLst>
            <a:ext uri="{FF2B5EF4-FFF2-40B4-BE49-F238E27FC236}">
              <a16:creationId xmlns:a16="http://schemas.microsoft.com/office/drawing/2014/main" id="{4EA2C56B-5CB9-43E8-AD49-A59992A6B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xdr:colOff>
      <xdr:row>3</xdr:row>
      <xdr:rowOff>6350</xdr:rowOff>
    </xdr:from>
    <xdr:to>
      <xdr:col>8</xdr:col>
      <xdr:colOff>0</xdr:colOff>
      <xdr:row>16</xdr:row>
      <xdr:rowOff>12700</xdr:rowOff>
    </xdr:to>
    <xdr:graphicFrame macro="">
      <xdr:nvGraphicFramePr>
        <xdr:cNvPr id="5" name="Chart 4">
          <a:extLst>
            <a:ext uri="{FF2B5EF4-FFF2-40B4-BE49-F238E27FC236}">
              <a16:creationId xmlns:a16="http://schemas.microsoft.com/office/drawing/2014/main" id="{EB0DF1F1-940F-4B6E-8F09-46BAF924C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12700</xdr:colOff>
      <xdr:row>16</xdr:row>
      <xdr:rowOff>12700</xdr:rowOff>
    </xdr:from>
    <xdr:to>
      <xdr:col>4</xdr:col>
      <xdr:colOff>0</xdr:colOff>
      <xdr:row>31</xdr:row>
      <xdr:rowOff>6350</xdr:rowOff>
    </xdr:to>
    <xdr:graphicFrame macro="">
      <xdr:nvGraphicFramePr>
        <xdr:cNvPr id="6" name="Chart 5">
          <a:extLst>
            <a:ext uri="{FF2B5EF4-FFF2-40B4-BE49-F238E27FC236}">
              <a16:creationId xmlns:a16="http://schemas.microsoft.com/office/drawing/2014/main" id="{C4FD00F6-81DC-4AC0-8AA8-CD4E43540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19050</xdr:colOff>
      <xdr:row>16</xdr:row>
      <xdr:rowOff>31750</xdr:rowOff>
    </xdr:from>
    <xdr:to>
      <xdr:col>8</xdr:col>
      <xdr:colOff>0</xdr:colOff>
      <xdr:row>31</xdr:row>
      <xdr:rowOff>0</xdr:rowOff>
    </xdr:to>
    <xdr:graphicFrame macro="">
      <xdr:nvGraphicFramePr>
        <xdr:cNvPr id="12" name="Chart 11">
          <a:extLst>
            <a:ext uri="{FF2B5EF4-FFF2-40B4-BE49-F238E27FC236}">
              <a16:creationId xmlns:a16="http://schemas.microsoft.com/office/drawing/2014/main" id="{DC5E57E7-005F-4888-A6D5-1966FEA6A4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25400</xdr:colOff>
      <xdr:row>11</xdr:row>
      <xdr:rowOff>171450</xdr:rowOff>
    </xdr:from>
    <xdr:to>
      <xdr:col>14</xdr:col>
      <xdr:colOff>76200</xdr:colOff>
      <xdr:row>31</xdr:row>
      <xdr:rowOff>6350</xdr:rowOff>
    </xdr:to>
    <xdr:graphicFrame macro="">
      <xdr:nvGraphicFramePr>
        <xdr:cNvPr id="13" name="Chart 12">
          <a:extLst>
            <a:ext uri="{FF2B5EF4-FFF2-40B4-BE49-F238E27FC236}">
              <a16:creationId xmlns:a16="http://schemas.microsoft.com/office/drawing/2014/main" id="{CCB0EBDF-8E32-4AEE-A025-193C0D52F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19050</xdr:colOff>
      <xdr:row>1</xdr:row>
      <xdr:rowOff>38101</xdr:rowOff>
    </xdr:from>
    <xdr:to>
      <xdr:col>10</xdr:col>
      <xdr:colOff>285750</xdr:colOff>
      <xdr:row>9</xdr:row>
      <xdr:rowOff>31750</xdr:rowOff>
    </xdr:to>
    <mc:AlternateContent xmlns:mc="http://schemas.openxmlformats.org/markup-compatibility/2006">
      <mc:Choice xmlns:a14="http://schemas.microsoft.com/office/drawing/2010/main" Requires="a14">
        <xdr:graphicFrame macro="">
          <xdr:nvGraphicFramePr>
            <xdr:cNvPr id="14" name="DeptName 1">
              <a:extLst>
                <a:ext uri="{FF2B5EF4-FFF2-40B4-BE49-F238E27FC236}">
                  <a16:creationId xmlns:a16="http://schemas.microsoft.com/office/drawing/2014/main" id="{30B8E5D7-9DE6-4547-B359-4A34C0F42DF8}"/>
                </a:ext>
              </a:extLst>
            </xdr:cNvPr>
            <xdr:cNvGraphicFramePr/>
          </xdr:nvGraphicFramePr>
          <xdr:xfrm>
            <a:off x="0" y="0"/>
            <a:ext cx="0" cy="0"/>
          </xdr:xfrm>
          <a:graphic>
            <a:graphicData uri="http://schemas.microsoft.com/office/drawing/2010/slicer">
              <sle:slicer xmlns:sle="http://schemas.microsoft.com/office/drawing/2010/slicer" name="DeptName 1"/>
            </a:graphicData>
          </a:graphic>
        </xdr:graphicFrame>
      </mc:Choice>
      <mc:Fallback>
        <xdr:sp macro="" textlink="">
          <xdr:nvSpPr>
            <xdr:cNvPr id="0" name=""/>
            <xdr:cNvSpPr>
              <a:spLocks noTextEdit="1"/>
            </xdr:cNvSpPr>
          </xdr:nvSpPr>
          <xdr:spPr>
            <a:xfrm>
              <a:off x="7994650" y="292101"/>
              <a:ext cx="1485900" cy="1479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330200</xdr:colOff>
      <xdr:row>1</xdr:row>
      <xdr:rowOff>44450</xdr:rowOff>
    </xdr:from>
    <xdr:to>
      <xdr:col>12</xdr:col>
      <xdr:colOff>565150</xdr:colOff>
      <xdr:row>9</xdr:row>
      <xdr:rowOff>38100</xdr:rowOff>
    </xdr:to>
    <mc:AlternateContent xmlns:mc="http://schemas.openxmlformats.org/markup-compatibility/2006">
      <mc:Choice xmlns:a14="http://schemas.microsoft.com/office/drawing/2010/main" Requires="a14">
        <xdr:graphicFrame macro="">
          <xdr:nvGraphicFramePr>
            <xdr:cNvPr id="15" name="DeptName 3">
              <a:extLst>
                <a:ext uri="{FF2B5EF4-FFF2-40B4-BE49-F238E27FC236}">
                  <a16:creationId xmlns:a16="http://schemas.microsoft.com/office/drawing/2014/main" id="{F4A9089C-46B6-4CA3-8CC2-AB76ACF4968F}"/>
                </a:ext>
              </a:extLst>
            </xdr:cNvPr>
            <xdr:cNvGraphicFramePr/>
          </xdr:nvGraphicFramePr>
          <xdr:xfrm>
            <a:off x="0" y="0"/>
            <a:ext cx="0" cy="0"/>
          </xdr:xfrm>
          <a:graphic>
            <a:graphicData uri="http://schemas.microsoft.com/office/drawing/2010/slicer">
              <sle:slicer xmlns:sle="http://schemas.microsoft.com/office/drawing/2010/slicer" name="DeptName 3"/>
            </a:graphicData>
          </a:graphic>
        </xdr:graphicFrame>
      </mc:Choice>
      <mc:Fallback>
        <xdr:sp macro="" textlink="">
          <xdr:nvSpPr>
            <xdr:cNvPr id="0" name=""/>
            <xdr:cNvSpPr>
              <a:spLocks noTextEdit="1"/>
            </xdr:cNvSpPr>
          </xdr:nvSpPr>
          <xdr:spPr>
            <a:xfrm>
              <a:off x="9525000" y="298450"/>
              <a:ext cx="1454150" cy="1479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unikaYarramdasu" refreshedDate="46123.645362731484" createdVersion="8" refreshedVersion="8" minRefreshableVersion="3" recordCount="10" xr:uid="{48A0A716-0647-42B0-B124-5E622959C392}">
  <cacheSource type="worksheet">
    <worksheetSource ref="A1:I11" sheet="Raw_Data"/>
  </cacheSource>
  <cacheFields count="9">
    <cacheField name="EmpID" numFmtId="0">
      <sharedItems/>
    </cacheField>
    <cacheField name="Name" numFmtId="0">
      <sharedItems count="10">
        <s v="Arjun"/>
        <s v="Priya"/>
        <s v="Rahul"/>
        <s v="Sneha"/>
        <s v="Ravi"/>
        <s v="Meera"/>
        <s v="Anita"/>
        <s v="Kiran"/>
        <s v="Divya"/>
        <s v="Suresh"/>
      </sharedItems>
    </cacheField>
    <cacheField name="DeptName" numFmtId="0">
      <sharedItems count="4">
        <s v="Engineering"/>
        <s v="HR"/>
        <s v="Sales"/>
        <s v="Finance"/>
      </sharedItems>
    </cacheField>
    <cacheField name="City" numFmtId="0">
      <sharedItems count="4">
        <s v="Hyderabad"/>
        <s v="Mumbai"/>
        <s v="Bangalore"/>
        <s v="Delhi"/>
      </sharedItems>
    </cacheField>
    <cacheField name="Salary" numFmtId="0">
      <sharedItems containsSemiMixedTypes="0" containsString="0" containsNumber="1" containsInteger="1" minValue="55000" maxValue="95000" count="10">
        <n v="95000"/>
        <n v="82000"/>
        <n v="72000"/>
        <n v="70000"/>
        <n v="78000"/>
        <n v="90000"/>
        <n v="60000"/>
        <n v="55000"/>
        <n v="88000"/>
        <n v="65000"/>
      </sharedItems>
    </cacheField>
    <cacheField name="JoinYear" numFmtId="0">
      <sharedItems containsSemiMixedTypes="0" containsString="0" containsNumber="1" containsInteger="1" minValue="2018" maxValue="2023"/>
    </cacheField>
    <cacheField name="SalaryBand" numFmtId="0">
      <sharedItems count="3">
        <s v="Senior"/>
        <s v="Mid"/>
        <s v="Junior"/>
      </sharedItems>
    </cacheField>
    <cacheField name="DeptSalaryRank" numFmtId="0">
      <sharedItems containsSemiMixedTypes="0" containsString="0" containsNumber="1" containsInteger="1" minValue="1" maxValue="3"/>
    </cacheField>
    <cacheField name="SalarySharePct" numFmtId="0">
      <sharedItems containsSemiMixedTypes="0" containsString="0" containsNumber="1" minValue="7.3" maxValue="12.6"/>
    </cacheField>
  </cacheFields>
  <extLst>
    <ext xmlns:x14="http://schemas.microsoft.com/office/spreadsheetml/2009/9/main" uri="{725AE2AE-9491-48be-B2B4-4EB974FC3084}">
      <x14:pivotCacheDefinition pivotCacheId="89404759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unikaYarramdasu" refreshedDate="46123.847998263889" createdVersion="8" refreshedVersion="8" minRefreshableVersion="3" recordCount="9" xr:uid="{31D114A2-22D5-467B-A5BF-FEA4D1BEEB01}">
  <cacheSource type="worksheet">
    <worksheetSource ref="K1:P10" sheet="Raw_Data"/>
  </cacheSource>
  <cacheFields count="6">
    <cacheField name="Name" numFmtId="0">
      <sharedItems count="9">
        <s v="Meera"/>
        <s v="Arjun"/>
        <s v="Divya"/>
        <s v="Rahul"/>
        <s v="Priya"/>
        <s v="Sneha"/>
        <s v="Ravi"/>
        <s v="Suresh"/>
        <s v="Kiran"/>
      </sharedItems>
    </cacheField>
    <cacheField name="DeptName" numFmtId="0">
      <sharedItems count="4">
        <s v="Sales"/>
        <s v="Engineering"/>
        <s v="Finance"/>
        <s v="HR"/>
      </sharedItems>
    </cacheField>
    <cacheField name="TotalSales" numFmtId="0">
      <sharedItems containsSemiMixedTypes="0" containsString="0" containsNumber="1" containsInteger="1" minValue="45000" maxValue="130000"/>
    </cacheField>
    <cacheField name="TotalTarget" numFmtId="0">
      <sharedItems containsSemiMixedTypes="0" containsString="0" containsNumber="1" containsInteger="1" minValue="50000" maxValue="120000"/>
    </cacheField>
    <cacheField name="AchievementPct" numFmtId="0">
      <sharedItems containsSemiMixedTypes="0" containsString="0" containsNumber="1" minValue="77.8" maxValue="120"/>
    </cacheField>
    <cacheField name="Performance" numFmtId="0">
      <sharedItems/>
    </cacheField>
  </cacheFields>
  <extLst>
    <ext xmlns:x14="http://schemas.microsoft.com/office/spreadsheetml/2009/9/main" uri="{725AE2AE-9491-48be-B2B4-4EB974FC3084}">
      <x14:pivotCacheDefinition pivotCacheId="178378483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unikaYarramdasu" refreshedDate="46123.850728703706" createdVersion="8" refreshedVersion="8" minRefreshableVersion="3" recordCount="4" xr:uid="{662E1AAB-E31F-4419-925B-9F9AC950EA98}">
  <cacheSource type="worksheet">
    <worksheetSource ref="R1:W5" sheet="Raw_Data"/>
  </cacheSource>
  <cacheFields count="6">
    <cacheField name="Region" numFmtId="0">
      <sharedItems count="4">
        <s v="South"/>
        <s v="North"/>
        <s v="East"/>
        <s v="West"/>
      </sharedItems>
    </cacheField>
    <cacheField name="TotalSales" numFmtId="0">
      <sharedItems containsSemiMixedTypes="0" containsString="0" containsNumber="1" containsInteger="1" minValue="150000" maxValue="390000"/>
    </cacheField>
    <cacheField name="TotalTarget" numFmtId="0">
      <sharedItems containsSemiMixedTypes="0" containsString="0" containsNumber="1" containsInteger="1" minValue="165000" maxValue="365000"/>
    </cacheField>
    <cacheField name="Variance" numFmtId="0">
      <sharedItems containsSemiMixedTypes="0" containsString="0" containsNumber="1" containsInteger="1" minValue="-15000" maxValue="25000"/>
    </cacheField>
    <cacheField name="AchievementPct" numFmtId="0">
      <sharedItems containsSemiMixedTypes="0" containsString="0" containsNumber="1" minValue="90.9" maxValue="106.8"/>
    </cacheField>
    <cacheField name="Statu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E001"/>
    <x v="0"/>
    <x v="0"/>
    <x v="0"/>
    <x v="0"/>
    <n v="2020"/>
    <x v="0"/>
    <n v="1"/>
    <n v="12.6"/>
  </r>
  <r>
    <s v="E002"/>
    <x v="1"/>
    <x v="0"/>
    <x v="0"/>
    <x v="1"/>
    <n v="2020"/>
    <x v="1"/>
    <n v="2"/>
    <n v="10.9"/>
  </r>
  <r>
    <s v="E009"/>
    <x v="2"/>
    <x v="0"/>
    <x v="0"/>
    <x v="2"/>
    <n v="2022"/>
    <x v="1"/>
    <n v="3"/>
    <n v="9.5"/>
  </r>
  <r>
    <s v="E004"/>
    <x v="3"/>
    <x v="1"/>
    <x v="1"/>
    <x v="3"/>
    <n v="2019"/>
    <x v="1"/>
    <n v="1"/>
    <n v="9.3000000000000007"/>
  </r>
  <r>
    <s v="E003"/>
    <x v="4"/>
    <x v="1"/>
    <x v="1"/>
    <x v="4"/>
    <n v="2021"/>
    <x v="1"/>
    <n v="2"/>
    <n v="10.3"/>
  </r>
  <r>
    <s v="E006"/>
    <x v="5"/>
    <x v="2"/>
    <x v="2"/>
    <x v="5"/>
    <n v="2018"/>
    <x v="0"/>
    <n v="1"/>
    <n v="11.9"/>
  </r>
  <r>
    <s v="E010"/>
    <x v="6"/>
    <x v="2"/>
    <x v="2"/>
    <x v="6"/>
    <n v="2023"/>
    <x v="2"/>
    <n v="3"/>
    <n v="7.9"/>
  </r>
  <r>
    <s v="E005"/>
    <x v="7"/>
    <x v="2"/>
    <x v="2"/>
    <x v="7"/>
    <n v="2022"/>
    <x v="2"/>
    <n v="2"/>
    <n v="7.3"/>
  </r>
  <r>
    <s v="E008"/>
    <x v="8"/>
    <x v="3"/>
    <x v="3"/>
    <x v="8"/>
    <n v="2020"/>
    <x v="0"/>
    <n v="1"/>
    <n v="11.7"/>
  </r>
  <r>
    <s v="E007"/>
    <x v="9"/>
    <x v="3"/>
    <x v="3"/>
    <x v="9"/>
    <n v="2021"/>
    <x v="2"/>
    <n v="2"/>
    <n v="8.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x v="0"/>
    <n v="130000"/>
    <n v="120000"/>
    <n v="108.3"/>
    <s v="Exceeded"/>
  </r>
  <r>
    <x v="1"/>
    <x v="1"/>
    <n v="120000"/>
    <n v="100000"/>
    <n v="120"/>
    <s v="Exceeded"/>
  </r>
  <r>
    <x v="2"/>
    <x v="2"/>
    <n v="110000"/>
    <n v="100000"/>
    <n v="110"/>
    <s v="Exceeded"/>
  </r>
  <r>
    <x v="3"/>
    <x v="1"/>
    <n v="90000"/>
    <n v="85000"/>
    <n v="105.9"/>
    <s v="Exceeded"/>
  </r>
  <r>
    <x v="4"/>
    <x v="1"/>
    <n v="85000"/>
    <n v="80000"/>
    <n v="106.3"/>
    <s v="Exceeded"/>
  </r>
  <r>
    <x v="5"/>
    <x v="3"/>
    <n v="80000"/>
    <n v="75000"/>
    <n v="106.7"/>
    <s v="Exceeded"/>
  </r>
  <r>
    <x v="6"/>
    <x v="3"/>
    <n v="70000"/>
    <n v="90000"/>
    <n v="77.8"/>
    <s v="Below Target"/>
  </r>
  <r>
    <x v="7"/>
    <x v="2"/>
    <n v="60000"/>
    <n v="65000"/>
    <n v="92.3"/>
    <s v="Below Target"/>
  </r>
  <r>
    <x v="8"/>
    <x v="0"/>
    <n v="45000"/>
    <n v="50000"/>
    <n v="90"/>
    <s v="Below Target"/>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390000"/>
    <n v="365000"/>
    <n v="25000"/>
    <n v="106.8"/>
    <s v="Target Met"/>
  </r>
  <r>
    <x v="1"/>
    <n v="175000"/>
    <n v="170000"/>
    <n v="5000"/>
    <n v="102.9"/>
    <s v="Target Met"/>
  </r>
  <r>
    <x v="2"/>
    <n v="170000"/>
    <n v="165000"/>
    <n v="5000"/>
    <n v="103"/>
    <s v="Target Met"/>
  </r>
  <r>
    <x v="3"/>
    <n v="150000"/>
    <n v="165000"/>
    <n v="-15000"/>
    <n v="90.9"/>
    <s v="Below Targ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5AB80A-7927-4A0A-9823-9976372B265B}"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C1:F6" firstHeaderRow="0" firstDataRow="1" firstDataCol="1"/>
  <pivotFields count="9">
    <pivotField showAll="0"/>
    <pivotField dataField="1" showAll="0">
      <items count="11">
        <item x="6"/>
        <item x="0"/>
        <item x="8"/>
        <item x="7"/>
        <item x="5"/>
        <item x="1"/>
        <item x="2"/>
        <item x="4"/>
        <item x="3"/>
        <item x="9"/>
        <item t="default"/>
      </items>
    </pivotField>
    <pivotField axis="axisRow" showAll="0">
      <items count="5">
        <item x="0"/>
        <item x="3"/>
        <item x="1"/>
        <item x="2"/>
        <item t="default"/>
      </items>
    </pivotField>
    <pivotField showAll="0"/>
    <pivotField dataField="1" showAll="0">
      <items count="11">
        <item x="7"/>
        <item x="6"/>
        <item x="9"/>
        <item x="3"/>
        <item x="2"/>
        <item x="4"/>
        <item x="1"/>
        <item x="8"/>
        <item x="5"/>
        <item x="0"/>
        <item t="default"/>
      </items>
    </pivotField>
    <pivotField showAll="0"/>
    <pivotField showAll="0"/>
    <pivotField showAll="0"/>
    <pivotField showAll="0"/>
  </pivotFields>
  <rowFields count="1">
    <field x="2"/>
  </rowFields>
  <rowItems count="5">
    <i>
      <x/>
    </i>
    <i>
      <x v="1"/>
    </i>
    <i>
      <x v="2"/>
    </i>
    <i>
      <x v="3"/>
    </i>
    <i t="grand">
      <x/>
    </i>
  </rowItems>
  <colFields count="1">
    <field x="-2"/>
  </colFields>
  <colItems count="3">
    <i>
      <x/>
    </i>
    <i i="1">
      <x v="1"/>
    </i>
    <i i="2">
      <x v="2"/>
    </i>
  </colItems>
  <dataFields count="3">
    <dataField name="Count of Name" fld="1" subtotal="count" baseField="0" baseItem="0"/>
    <dataField name="Sum of Salary" fld="4" baseField="0" baseItem="0"/>
    <dataField name="Average of Salary" fld="4" subtotal="average" baseField="0" baseItem="0"/>
  </dataFields>
  <chartFormats count="6">
    <chartFormat chart="6" format="5"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 chart="9" format="12"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1"/>
          </reference>
        </references>
      </pivotArea>
    </chartFormat>
    <chartFormat chart="9"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0F875C-2F4A-4950-81DA-BE2724B10A71}" name="PivotTable11"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2:G7" firstHeaderRow="1" firstDataRow="1" firstDataCol="1"/>
  <pivotFields count="6">
    <pivotField axis="axisRow" showAll="0">
      <items count="5">
        <item x="2"/>
        <item x="1"/>
        <item x="0"/>
        <item x="3"/>
        <item t="default"/>
      </items>
    </pivotField>
    <pivotField dataField="1" showAll="0"/>
    <pivotField showAll="0"/>
    <pivotField showAll="0"/>
    <pivotField showAll="0"/>
    <pivotField showAll="0"/>
  </pivotFields>
  <rowFields count="1">
    <field x="0"/>
  </rowFields>
  <rowItems count="5">
    <i>
      <x/>
    </i>
    <i>
      <x v="1"/>
    </i>
    <i>
      <x v="2"/>
    </i>
    <i>
      <x v="3"/>
    </i>
    <i t="grand">
      <x/>
    </i>
  </rowItems>
  <colItems count="1">
    <i/>
  </colItems>
  <dataFields count="1">
    <dataField name="Sum of TotalSales" fld="1" baseField="0" baseItem="0"/>
  </dataFields>
  <chartFormats count="2">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811100-4A6D-4F10-9032-499FDE8B0101}" name="PivotTable10"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C12" firstHeaderRow="0" firstDataRow="1" firstDataCol="1"/>
  <pivotFields count="6">
    <pivotField axis="axisRow" showAll="0">
      <items count="10">
        <item x="1"/>
        <item x="2"/>
        <item x="8"/>
        <item x="0"/>
        <item x="4"/>
        <item x="3"/>
        <item x="6"/>
        <item x="5"/>
        <item x="7"/>
        <item t="default"/>
      </items>
    </pivotField>
    <pivotField showAll="0">
      <items count="5">
        <item x="1"/>
        <item x="2"/>
        <item x="3"/>
        <item x="0"/>
        <item t="default"/>
      </items>
    </pivotField>
    <pivotField dataField="1" showAll="0"/>
    <pivotField dataField="1" showAll="0"/>
    <pivotField showAll="0"/>
    <pivotField showAll="0"/>
  </pivotFields>
  <rowFields count="1">
    <field x="0"/>
  </rowFields>
  <rowItems count="10">
    <i>
      <x/>
    </i>
    <i>
      <x v="1"/>
    </i>
    <i>
      <x v="2"/>
    </i>
    <i>
      <x v="3"/>
    </i>
    <i>
      <x v="4"/>
    </i>
    <i>
      <x v="5"/>
    </i>
    <i>
      <x v="6"/>
    </i>
    <i>
      <x v="7"/>
    </i>
    <i>
      <x v="8"/>
    </i>
    <i t="grand">
      <x/>
    </i>
  </rowItems>
  <colFields count="1">
    <field x="-2"/>
  </colFields>
  <colItems count="2">
    <i>
      <x/>
    </i>
    <i i="1">
      <x v="1"/>
    </i>
  </colItems>
  <dataFields count="2">
    <dataField name="Sum of TotalSales" fld="2" baseField="0" baseItem="0"/>
    <dataField name="Sum of TotalTarget"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84E8DE-2365-4FEF-B46D-4C749FBBA15D}"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E3:G8" firstHeaderRow="0" firstDataRow="1" firstDataCol="1"/>
  <pivotFields count="9">
    <pivotField showAll="0"/>
    <pivotField dataField="1" showAll="0"/>
    <pivotField showAll="0">
      <items count="5">
        <item x="0"/>
        <item x="3"/>
        <item x="1"/>
        <item x="2"/>
        <item t="default"/>
      </items>
    </pivotField>
    <pivotField axis="axisRow" showAll="0">
      <items count="5">
        <item x="2"/>
        <item x="3"/>
        <item x="0"/>
        <item x="1"/>
        <item t="default"/>
      </items>
    </pivotField>
    <pivotField dataField="1" showAll="0"/>
    <pivotField showAll="0"/>
    <pivotField showAll="0">
      <items count="4">
        <item x="2"/>
        <item x="1"/>
        <item x="0"/>
        <item t="default"/>
      </items>
    </pivotField>
    <pivotField showAll="0"/>
    <pivotField showAll="0"/>
  </pivotFields>
  <rowFields count="1">
    <field x="3"/>
  </rowFields>
  <rowItems count="5">
    <i>
      <x/>
    </i>
    <i>
      <x v="1"/>
    </i>
    <i>
      <x v="2"/>
    </i>
    <i>
      <x v="3"/>
    </i>
    <i t="grand">
      <x/>
    </i>
  </rowItems>
  <colFields count="1">
    <field x="-2"/>
  </colFields>
  <colItems count="2">
    <i>
      <x/>
    </i>
    <i i="1">
      <x v="1"/>
    </i>
  </colItems>
  <dataFields count="2">
    <dataField name="Count of Name" fld="1" subtotal="count" baseField="0" baseItem="0"/>
    <dataField name="Average of Salary" fld="4" subtotal="average" baseField="6" baseItem="0"/>
  </dataFields>
  <chartFormats count="6">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34" format="4"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429DD3-0A65-4AD4-8D4C-AE0784E2C5BF}"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7" firstHeaderRow="0" firstDataRow="1" firstDataCol="1"/>
  <pivotFields count="9">
    <pivotField showAll="0"/>
    <pivotField dataField="1" showAll="0"/>
    <pivotField showAll="0">
      <items count="5">
        <item x="0"/>
        <item x="3"/>
        <item x="1"/>
        <item x="2"/>
        <item t="default"/>
      </items>
    </pivotField>
    <pivotField showAll="0"/>
    <pivotField dataField="1" showAll="0"/>
    <pivotField showAll="0"/>
    <pivotField axis="axisRow" showAll="0">
      <items count="4">
        <item x="2"/>
        <item x="1"/>
        <item x="0"/>
        <item t="default"/>
      </items>
    </pivotField>
    <pivotField showAll="0"/>
    <pivotField showAll="0"/>
  </pivotFields>
  <rowFields count="1">
    <field x="6"/>
  </rowFields>
  <rowItems count="4">
    <i>
      <x/>
    </i>
    <i>
      <x v="1"/>
    </i>
    <i>
      <x v="2"/>
    </i>
    <i t="grand">
      <x/>
    </i>
  </rowItems>
  <colFields count="1">
    <field x="-2"/>
  </colFields>
  <colItems count="2">
    <i>
      <x/>
    </i>
    <i i="1">
      <x v="1"/>
    </i>
  </colItems>
  <dataFields count="2">
    <dataField name="Count of Name" fld="1" subtotal="count" baseField="0" baseItem="0"/>
    <dataField name="Average of Salary" fld="4" subtotal="average" baseField="6" baseItem="0"/>
  </dataFields>
  <chartFormats count="10">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6" count="1" selected="0">
            <x v="0"/>
          </reference>
        </references>
      </pivotArea>
    </chartFormat>
    <chartFormat chart="10" format="12">
      <pivotArea type="data" outline="0" fieldPosition="0">
        <references count="2">
          <reference field="4294967294" count="1" selected="0">
            <x v="0"/>
          </reference>
          <reference field="6" count="1" selected="0">
            <x v="1"/>
          </reference>
        </references>
      </pivotArea>
    </chartFormat>
    <chartFormat chart="10" format="13">
      <pivotArea type="data" outline="0" fieldPosition="0">
        <references count="2">
          <reference field="4294967294" count="1" selected="0">
            <x v="0"/>
          </reference>
          <reference field="6" count="1" selected="0">
            <x v="2"/>
          </reference>
        </references>
      </pivotArea>
    </chartFormat>
    <chartFormat chart="10" format="14" series="1">
      <pivotArea type="data" outline="0" fieldPosition="0">
        <references count="1">
          <reference field="4294967294" count="1" selected="0">
            <x v="1"/>
          </reference>
        </references>
      </pivotArea>
    </chartFormat>
    <chartFormat chart="10" format="15">
      <pivotArea type="data" outline="0" fieldPosition="0">
        <references count="2">
          <reference field="4294967294" count="1" selected="0">
            <x v="1"/>
          </reference>
          <reference field="6" count="1" selected="0">
            <x v="0"/>
          </reference>
        </references>
      </pivotArea>
    </chartFormat>
    <chartFormat chart="10" format="16">
      <pivotArea type="data" outline="0" fieldPosition="0">
        <references count="2">
          <reference field="4294967294" count="1" selected="0">
            <x v="1"/>
          </reference>
          <reference field="6" count="1" selected="0">
            <x v="1"/>
          </reference>
        </references>
      </pivotArea>
    </chartFormat>
    <chartFormat chart="10" format="17">
      <pivotArea type="data" outline="0" fieldPosition="0">
        <references count="2">
          <reference field="4294967294"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Name" xr10:uid="{BD544D9B-7E59-4B16-BC75-91CC6B94C42A}" sourceName="DeptName">
  <pivotTables>
    <pivotTable tabId="2" name="PivotTable1"/>
    <pivotTable tabId="3" name="PivotTable4"/>
    <pivotTable tabId="3" name="PivotTable5"/>
  </pivotTables>
  <data>
    <tabular pivotCacheId="894047590">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Name1" xr10:uid="{648C76AD-ACAD-4EEA-B49A-1785E6800814}" sourceName="DeptName">
  <pivotTables>
    <pivotTable tabId="4" name="PivotTable10"/>
  </pivotTables>
  <data>
    <tabular pivotCacheId="1783784839">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Name" xr10:uid="{F45597C7-7DED-4D01-A371-092093447607}" cache="Slicer_DeptName" caption="DeptNam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Name 2" xr10:uid="{35C5E8C3-105E-484B-9B46-A950153CCDCF}" cache="Slicer_DeptName1" caption="DeptNam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Name 1" xr10:uid="{93F35DCF-0B2C-427E-B3C0-92BB10F5EDF4}" cache="Slicer_DeptName" caption="DeptName" rowHeight="241300"/>
  <slicer name="DeptName 3" xr10:uid="{1471AC5A-87E6-4044-91EA-9874FBA86218}" cache="Slicer_DeptName1" caption="Sale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8BA8E-4CD7-42C6-B10A-03C3A4D56210}">
  <dimension ref="A1:W11"/>
  <sheetViews>
    <sheetView tabSelected="1" workbookViewId="0">
      <selection activeCell="V6" sqref="V6"/>
    </sheetView>
  </sheetViews>
  <sheetFormatPr defaultRowHeight="14.5" x14ac:dyDescent="0.35"/>
  <cols>
    <col min="3" max="3" width="10.54296875" bestFit="1" customWidth="1"/>
    <col min="4" max="4" width="10" bestFit="1" customWidth="1"/>
    <col min="7" max="7" width="10.08984375" bestFit="1" customWidth="1"/>
    <col min="8" max="8" width="14.1796875" bestFit="1" customWidth="1"/>
    <col min="9" max="9" width="13.08984375" customWidth="1"/>
    <col min="12" max="12" width="10.54296875" bestFit="1" customWidth="1"/>
    <col min="13" max="13" width="9.26953125" bestFit="1" customWidth="1"/>
    <col min="14" max="14" width="10.453125" bestFit="1" customWidth="1"/>
    <col min="15" max="15" width="14.453125" bestFit="1" customWidth="1"/>
    <col min="16" max="16" width="11.6328125" bestFit="1" customWidth="1"/>
    <col min="19" max="19" width="9.26953125" bestFit="1" customWidth="1"/>
    <col min="20" max="20" width="10.453125" bestFit="1" customWidth="1"/>
    <col min="21" max="21" width="8.08984375" bestFit="1" customWidth="1"/>
    <col min="22" max="22" width="14.453125" bestFit="1" customWidth="1"/>
    <col min="23" max="23" width="11.6328125" bestFit="1" customWidth="1"/>
  </cols>
  <sheetData>
    <row r="1" spans="1:23" s="4" customFormat="1" x14ac:dyDescent="0.35">
      <c r="A1" s="4" t="s">
        <v>0</v>
      </c>
      <c r="B1" s="4" t="s">
        <v>1</v>
      </c>
      <c r="C1" s="4" t="s">
        <v>2</v>
      </c>
      <c r="D1" s="4" t="s">
        <v>3</v>
      </c>
      <c r="E1" s="4" t="s">
        <v>4</v>
      </c>
      <c r="F1" s="4" t="s">
        <v>5</v>
      </c>
      <c r="G1" s="4" t="s">
        <v>6</v>
      </c>
      <c r="H1" s="4" t="s">
        <v>7</v>
      </c>
      <c r="I1" s="4" t="s">
        <v>8</v>
      </c>
      <c r="K1" s="4" t="s">
        <v>1</v>
      </c>
      <c r="L1" s="4" t="s">
        <v>2</v>
      </c>
      <c r="M1" s="4" t="s">
        <v>45</v>
      </c>
      <c r="N1" s="4" t="s">
        <v>46</v>
      </c>
      <c r="O1" s="4" t="s">
        <v>47</v>
      </c>
      <c r="P1" s="4" t="s">
        <v>48</v>
      </c>
      <c r="R1" s="4" t="s">
        <v>53</v>
      </c>
      <c r="S1" s="4" t="s">
        <v>45</v>
      </c>
      <c r="T1" s="4" t="s">
        <v>46</v>
      </c>
      <c r="U1" s="4" t="s">
        <v>54</v>
      </c>
      <c r="V1" s="4" t="s">
        <v>47</v>
      </c>
      <c r="W1" s="4" t="s">
        <v>55</v>
      </c>
    </row>
    <row r="2" spans="1:23" x14ac:dyDescent="0.35">
      <c r="A2" t="s">
        <v>9</v>
      </c>
      <c r="B2" t="s">
        <v>10</v>
      </c>
      <c r="C2" t="s">
        <v>11</v>
      </c>
      <c r="D2" t="s">
        <v>12</v>
      </c>
      <c r="E2">
        <v>95000</v>
      </c>
      <c r="F2">
        <v>2020</v>
      </c>
      <c r="G2" t="s">
        <v>13</v>
      </c>
      <c r="H2">
        <v>1</v>
      </c>
      <c r="I2">
        <v>12.6</v>
      </c>
      <c r="K2" t="s">
        <v>26</v>
      </c>
      <c r="L2" t="s">
        <v>27</v>
      </c>
      <c r="M2">
        <v>130000</v>
      </c>
      <c r="N2">
        <v>120000</v>
      </c>
      <c r="O2">
        <v>108.3</v>
      </c>
      <c r="P2" t="s">
        <v>49</v>
      </c>
      <c r="R2" t="s">
        <v>56</v>
      </c>
      <c r="S2">
        <v>390000</v>
      </c>
      <c r="T2">
        <v>365000</v>
      </c>
      <c r="U2">
        <v>25000</v>
      </c>
      <c r="V2">
        <v>106.8</v>
      </c>
      <c r="W2" t="s">
        <v>57</v>
      </c>
    </row>
    <row r="3" spans="1:23" x14ac:dyDescent="0.35">
      <c r="A3" t="s">
        <v>14</v>
      </c>
      <c r="B3" t="s">
        <v>15</v>
      </c>
      <c r="C3" t="s">
        <v>11</v>
      </c>
      <c r="D3" t="s">
        <v>12</v>
      </c>
      <c r="E3">
        <v>82000</v>
      </c>
      <c r="F3">
        <v>2020</v>
      </c>
      <c r="G3" t="s">
        <v>16</v>
      </c>
      <c r="H3">
        <v>2</v>
      </c>
      <c r="I3">
        <v>10.9</v>
      </c>
      <c r="K3" t="s">
        <v>10</v>
      </c>
      <c r="L3" t="s">
        <v>11</v>
      </c>
      <c r="M3">
        <v>120000</v>
      </c>
      <c r="N3">
        <v>100000</v>
      </c>
      <c r="O3">
        <v>120</v>
      </c>
      <c r="P3" t="s">
        <v>49</v>
      </c>
      <c r="R3" t="s">
        <v>58</v>
      </c>
      <c r="S3">
        <v>175000</v>
      </c>
      <c r="T3">
        <v>170000</v>
      </c>
      <c r="U3">
        <v>5000</v>
      </c>
      <c r="V3">
        <v>102.9</v>
      </c>
      <c r="W3" t="s">
        <v>57</v>
      </c>
    </row>
    <row r="4" spans="1:23" x14ac:dyDescent="0.35">
      <c r="A4" t="s">
        <v>17</v>
      </c>
      <c r="B4" t="s">
        <v>18</v>
      </c>
      <c r="C4" t="s">
        <v>11</v>
      </c>
      <c r="D4" t="s">
        <v>12</v>
      </c>
      <c r="E4">
        <v>72000</v>
      </c>
      <c r="F4">
        <v>2022</v>
      </c>
      <c r="G4" t="s">
        <v>16</v>
      </c>
      <c r="H4">
        <v>3</v>
      </c>
      <c r="I4">
        <v>9.5</v>
      </c>
      <c r="K4" t="s">
        <v>35</v>
      </c>
      <c r="L4" t="s">
        <v>36</v>
      </c>
      <c r="M4">
        <v>110000</v>
      </c>
      <c r="N4">
        <v>100000</v>
      </c>
      <c r="O4">
        <v>110</v>
      </c>
      <c r="P4" t="s">
        <v>49</v>
      </c>
      <c r="R4" t="s">
        <v>59</v>
      </c>
      <c r="S4">
        <v>170000</v>
      </c>
      <c r="T4">
        <v>165000</v>
      </c>
      <c r="U4">
        <v>5000</v>
      </c>
      <c r="V4">
        <v>103</v>
      </c>
      <c r="W4" t="s">
        <v>57</v>
      </c>
    </row>
    <row r="5" spans="1:23" x14ac:dyDescent="0.35">
      <c r="A5" t="s">
        <v>19</v>
      </c>
      <c r="B5" t="s">
        <v>20</v>
      </c>
      <c r="C5" t="s">
        <v>21</v>
      </c>
      <c r="D5" t="s">
        <v>22</v>
      </c>
      <c r="E5">
        <v>70000</v>
      </c>
      <c r="F5">
        <v>2019</v>
      </c>
      <c r="G5" t="s">
        <v>16</v>
      </c>
      <c r="H5">
        <v>1</v>
      </c>
      <c r="I5">
        <v>9.3000000000000007</v>
      </c>
      <c r="K5" t="s">
        <v>18</v>
      </c>
      <c r="L5" t="s">
        <v>11</v>
      </c>
      <c r="M5">
        <v>90000</v>
      </c>
      <c r="N5">
        <v>85000</v>
      </c>
      <c r="O5">
        <v>105.9</v>
      </c>
      <c r="P5" t="s">
        <v>49</v>
      </c>
      <c r="R5" t="s">
        <v>60</v>
      </c>
      <c r="S5">
        <v>150000</v>
      </c>
      <c r="T5">
        <v>165000</v>
      </c>
      <c r="U5">
        <v>-15000</v>
      </c>
      <c r="V5">
        <v>90.9</v>
      </c>
      <c r="W5" t="s">
        <v>50</v>
      </c>
    </row>
    <row r="6" spans="1:23" x14ac:dyDescent="0.35">
      <c r="A6" t="s">
        <v>23</v>
      </c>
      <c r="B6" t="s">
        <v>24</v>
      </c>
      <c r="C6" t="s">
        <v>21</v>
      </c>
      <c r="D6" t="s">
        <v>22</v>
      </c>
      <c r="E6">
        <v>78000</v>
      </c>
      <c r="F6">
        <v>2021</v>
      </c>
      <c r="G6" t="s">
        <v>16</v>
      </c>
      <c r="H6">
        <v>2</v>
      </c>
      <c r="I6">
        <v>10.3</v>
      </c>
      <c r="K6" t="s">
        <v>15</v>
      </c>
      <c r="L6" t="s">
        <v>11</v>
      </c>
      <c r="M6">
        <v>85000</v>
      </c>
      <c r="N6">
        <v>80000</v>
      </c>
      <c r="O6">
        <v>106.3</v>
      </c>
      <c r="P6" t="s">
        <v>49</v>
      </c>
    </row>
    <row r="7" spans="1:23" x14ac:dyDescent="0.35">
      <c r="A7" t="s">
        <v>25</v>
      </c>
      <c r="B7" t="s">
        <v>26</v>
      </c>
      <c r="C7" t="s">
        <v>27</v>
      </c>
      <c r="D7" t="s">
        <v>28</v>
      </c>
      <c r="E7">
        <v>90000</v>
      </c>
      <c r="F7">
        <v>2018</v>
      </c>
      <c r="G7" t="s">
        <v>13</v>
      </c>
      <c r="H7">
        <v>1</v>
      </c>
      <c r="I7">
        <v>11.9</v>
      </c>
      <c r="K7" t="s">
        <v>20</v>
      </c>
      <c r="L7" t="s">
        <v>21</v>
      </c>
      <c r="M7">
        <v>80000</v>
      </c>
      <c r="N7">
        <v>75000</v>
      </c>
      <c r="O7">
        <v>106.7</v>
      </c>
      <c r="P7" t="s">
        <v>49</v>
      </c>
    </row>
    <row r="8" spans="1:23" x14ac:dyDescent="0.35">
      <c r="A8" t="s">
        <v>29</v>
      </c>
      <c r="B8" t="s">
        <v>30</v>
      </c>
      <c r="C8" t="s">
        <v>27</v>
      </c>
      <c r="D8" t="s">
        <v>28</v>
      </c>
      <c r="E8">
        <v>60000</v>
      </c>
      <c r="F8">
        <v>2023</v>
      </c>
      <c r="G8" t="s">
        <v>31</v>
      </c>
      <c r="H8">
        <v>3</v>
      </c>
      <c r="I8">
        <v>7.9</v>
      </c>
      <c r="K8" t="s">
        <v>24</v>
      </c>
      <c r="L8" t="s">
        <v>21</v>
      </c>
      <c r="M8">
        <v>70000</v>
      </c>
      <c r="N8">
        <v>90000</v>
      </c>
      <c r="O8">
        <v>77.8</v>
      </c>
      <c r="P8" t="s">
        <v>50</v>
      </c>
    </row>
    <row r="9" spans="1:23" x14ac:dyDescent="0.35">
      <c r="A9" t="s">
        <v>32</v>
      </c>
      <c r="B9" t="s">
        <v>33</v>
      </c>
      <c r="C9" t="s">
        <v>27</v>
      </c>
      <c r="D9" t="s">
        <v>28</v>
      </c>
      <c r="E9">
        <v>55000</v>
      </c>
      <c r="F9">
        <v>2022</v>
      </c>
      <c r="G9" t="s">
        <v>31</v>
      </c>
      <c r="H9">
        <v>2</v>
      </c>
      <c r="I9">
        <v>7.3</v>
      </c>
      <c r="K9" t="s">
        <v>39</v>
      </c>
      <c r="L9" t="s">
        <v>36</v>
      </c>
      <c r="M9">
        <v>60000</v>
      </c>
      <c r="N9">
        <v>65000</v>
      </c>
      <c r="O9">
        <v>92.3</v>
      </c>
      <c r="P9" t="s">
        <v>50</v>
      </c>
    </row>
    <row r="10" spans="1:23" x14ac:dyDescent="0.35">
      <c r="A10" t="s">
        <v>34</v>
      </c>
      <c r="B10" t="s">
        <v>35</v>
      </c>
      <c r="C10" t="s">
        <v>36</v>
      </c>
      <c r="D10" t="s">
        <v>37</v>
      </c>
      <c r="E10">
        <v>88000</v>
      </c>
      <c r="F10">
        <v>2020</v>
      </c>
      <c r="G10" t="s">
        <v>13</v>
      </c>
      <c r="H10">
        <v>1</v>
      </c>
      <c r="I10">
        <v>11.7</v>
      </c>
      <c r="K10" t="s">
        <v>33</v>
      </c>
      <c r="L10" t="s">
        <v>27</v>
      </c>
      <c r="M10">
        <v>45000</v>
      </c>
      <c r="N10">
        <v>50000</v>
      </c>
      <c r="O10">
        <v>90</v>
      </c>
      <c r="P10" t="s">
        <v>50</v>
      </c>
    </row>
    <row r="11" spans="1:23" x14ac:dyDescent="0.35">
      <c r="A11" t="s">
        <v>38</v>
      </c>
      <c r="B11" t="s">
        <v>39</v>
      </c>
      <c r="C11" t="s">
        <v>36</v>
      </c>
      <c r="D11" t="s">
        <v>37</v>
      </c>
      <c r="E11">
        <v>65000</v>
      </c>
      <c r="F11">
        <v>2021</v>
      </c>
      <c r="G11" t="s">
        <v>31</v>
      </c>
      <c r="H11">
        <v>2</v>
      </c>
      <c r="I11">
        <v>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0EE5E-43AE-4B7F-8B20-2E180AFE5BE2}">
  <dimension ref="C1:F6"/>
  <sheetViews>
    <sheetView topLeftCell="C1" workbookViewId="0">
      <selection activeCell="L20" sqref="L20"/>
    </sheetView>
  </sheetViews>
  <sheetFormatPr defaultRowHeight="14.5" x14ac:dyDescent="0.35"/>
  <cols>
    <col min="3" max="3" width="12.36328125" bestFit="1" customWidth="1"/>
    <col min="4" max="4" width="13.54296875" bestFit="1" customWidth="1"/>
    <col min="5" max="5" width="12.08984375" bestFit="1" customWidth="1"/>
    <col min="6" max="6" width="15.26953125" bestFit="1" customWidth="1"/>
    <col min="7" max="7" width="5.1796875" bestFit="1" customWidth="1"/>
    <col min="8" max="8" width="6.26953125" bestFit="1" customWidth="1"/>
    <col min="9" max="9" width="5" bestFit="1" customWidth="1"/>
    <col min="10" max="10" width="5.54296875" bestFit="1" customWidth="1"/>
    <col min="11" max="11" width="4.26953125" bestFit="1" customWidth="1"/>
    <col min="12" max="12" width="5.90625" bestFit="1" customWidth="1"/>
    <col min="13" max="13" width="6.453125" bestFit="1" customWidth="1"/>
    <col min="14" max="14" width="10.7265625" bestFit="1" customWidth="1"/>
    <col min="15" max="15" width="6.81640625" bestFit="1" customWidth="1"/>
    <col min="16" max="16" width="9.7265625" bestFit="1" customWidth="1"/>
    <col min="17" max="17" width="10.7265625" bestFit="1" customWidth="1"/>
  </cols>
  <sheetData>
    <row r="1" spans="3:6" x14ac:dyDescent="0.35">
      <c r="C1" s="1" t="s">
        <v>40</v>
      </c>
      <c r="D1" t="s">
        <v>42</v>
      </c>
      <c r="E1" t="s">
        <v>43</v>
      </c>
      <c r="F1" t="s">
        <v>44</v>
      </c>
    </row>
    <row r="2" spans="3:6" x14ac:dyDescent="0.35">
      <c r="C2" s="2" t="s">
        <v>11</v>
      </c>
      <c r="D2" s="3">
        <v>3</v>
      </c>
      <c r="E2" s="3">
        <v>249000</v>
      </c>
      <c r="F2" s="3">
        <v>83000</v>
      </c>
    </row>
    <row r="3" spans="3:6" x14ac:dyDescent="0.35">
      <c r="C3" s="2" t="s">
        <v>36</v>
      </c>
      <c r="D3" s="3">
        <v>2</v>
      </c>
      <c r="E3" s="3">
        <v>153000</v>
      </c>
      <c r="F3" s="3">
        <v>76500</v>
      </c>
    </row>
    <row r="4" spans="3:6" x14ac:dyDescent="0.35">
      <c r="C4" s="2" t="s">
        <v>21</v>
      </c>
      <c r="D4" s="3">
        <v>2</v>
      </c>
      <c r="E4" s="3">
        <v>148000</v>
      </c>
      <c r="F4" s="3">
        <v>74000</v>
      </c>
    </row>
    <row r="5" spans="3:6" x14ac:dyDescent="0.35">
      <c r="C5" s="2" t="s">
        <v>27</v>
      </c>
      <c r="D5" s="3">
        <v>3</v>
      </c>
      <c r="E5" s="3">
        <v>205000</v>
      </c>
      <c r="F5" s="3">
        <v>68333.333333333328</v>
      </c>
    </row>
    <row r="6" spans="3:6" x14ac:dyDescent="0.35">
      <c r="C6" s="2" t="s">
        <v>41</v>
      </c>
      <c r="D6" s="3">
        <v>10</v>
      </c>
      <c r="E6" s="3">
        <v>755000</v>
      </c>
      <c r="F6" s="3">
        <v>75500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868F3-4C09-4FA5-8BB0-8C2CAF8CE2DD}">
  <dimension ref="A2:G12"/>
  <sheetViews>
    <sheetView workbookViewId="0">
      <selection activeCell="H10" sqref="H10"/>
    </sheetView>
  </sheetViews>
  <sheetFormatPr defaultRowHeight="14.5" x14ac:dyDescent="0.35"/>
  <cols>
    <col min="1" max="1" width="12.36328125" bestFit="1" customWidth="1"/>
    <col min="2" max="2" width="15.6328125" bestFit="1" customWidth="1"/>
    <col min="3" max="3" width="16.81640625" bestFit="1" customWidth="1"/>
    <col min="4" max="4" width="20.81640625" bestFit="1" customWidth="1"/>
    <col min="6" max="6" width="12.36328125" bestFit="1" customWidth="1"/>
    <col min="7" max="7" width="15.6328125" bestFit="1" customWidth="1"/>
    <col min="8" max="8" width="20.81640625" bestFit="1" customWidth="1"/>
    <col min="9" max="9" width="15.6328125" bestFit="1" customWidth="1"/>
    <col min="10" max="10" width="20.81640625" bestFit="1" customWidth="1"/>
    <col min="11" max="11" width="8" bestFit="1" customWidth="1"/>
    <col min="12" max="12" width="14.1796875" bestFit="1" customWidth="1"/>
  </cols>
  <sheetData>
    <row r="2" spans="1:7" x14ac:dyDescent="0.35">
      <c r="A2" s="1" t="s">
        <v>40</v>
      </c>
      <c r="B2" t="s">
        <v>51</v>
      </c>
      <c r="C2" t="s">
        <v>52</v>
      </c>
      <c r="F2" s="1" t="s">
        <v>40</v>
      </c>
      <c r="G2" t="s">
        <v>51</v>
      </c>
    </row>
    <row r="3" spans="1:7" x14ac:dyDescent="0.35">
      <c r="A3" s="2" t="s">
        <v>10</v>
      </c>
      <c r="B3" s="3">
        <v>120000</v>
      </c>
      <c r="C3" s="3">
        <v>100000</v>
      </c>
      <c r="F3" s="2" t="s">
        <v>59</v>
      </c>
      <c r="G3" s="3">
        <v>170000</v>
      </c>
    </row>
    <row r="4" spans="1:7" x14ac:dyDescent="0.35">
      <c r="A4" s="2" t="s">
        <v>35</v>
      </c>
      <c r="B4" s="3">
        <v>110000</v>
      </c>
      <c r="C4" s="3">
        <v>100000</v>
      </c>
      <c r="F4" s="2" t="s">
        <v>58</v>
      </c>
      <c r="G4" s="3">
        <v>175000</v>
      </c>
    </row>
    <row r="5" spans="1:7" x14ac:dyDescent="0.35">
      <c r="A5" s="2" t="s">
        <v>33</v>
      </c>
      <c r="B5" s="3">
        <v>45000</v>
      </c>
      <c r="C5" s="3">
        <v>50000</v>
      </c>
      <c r="F5" s="2" t="s">
        <v>56</v>
      </c>
      <c r="G5" s="3">
        <v>390000</v>
      </c>
    </row>
    <row r="6" spans="1:7" x14ac:dyDescent="0.35">
      <c r="A6" s="2" t="s">
        <v>26</v>
      </c>
      <c r="B6" s="3">
        <v>130000</v>
      </c>
      <c r="C6" s="3">
        <v>120000</v>
      </c>
      <c r="F6" s="2" t="s">
        <v>60</v>
      </c>
      <c r="G6" s="3">
        <v>150000</v>
      </c>
    </row>
    <row r="7" spans="1:7" x14ac:dyDescent="0.35">
      <c r="A7" s="2" t="s">
        <v>15</v>
      </c>
      <c r="B7" s="3">
        <v>85000</v>
      </c>
      <c r="C7" s="3">
        <v>80000</v>
      </c>
      <c r="F7" s="2" t="s">
        <v>41</v>
      </c>
      <c r="G7" s="3">
        <v>885000</v>
      </c>
    </row>
    <row r="8" spans="1:7" x14ac:dyDescent="0.35">
      <c r="A8" s="2" t="s">
        <v>18</v>
      </c>
      <c r="B8" s="3">
        <v>90000</v>
      </c>
      <c r="C8" s="3">
        <v>85000</v>
      </c>
    </row>
    <row r="9" spans="1:7" x14ac:dyDescent="0.35">
      <c r="A9" s="2" t="s">
        <v>24</v>
      </c>
      <c r="B9" s="3">
        <v>70000</v>
      </c>
      <c r="C9" s="3">
        <v>90000</v>
      </c>
    </row>
    <row r="10" spans="1:7" x14ac:dyDescent="0.35">
      <c r="A10" s="2" t="s">
        <v>20</v>
      </c>
      <c r="B10" s="3">
        <v>80000</v>
      </c>
      <c r="C10" s="3">
        <v>75000</v>
      </c>
    </row>
    <row r="11" spans="1:7" x14ac:dyDescent="0.35">
      <c r="A11" s="2" t="s">
        <v>39</v>
      </c>
      <c r="B11" s="3">
        <v>60000</v>
      </c>
      <c r="C11" s="3">
        <v>65000</v>
      </c>
    </row>
    <row r="12" spans="1:7" x14ac:dyDescent="0.35">
      <c r="A12" s="2" t="s">
        <v>41</v>
      </c>
      <c r="B12" s="3">
        <v>790000</v>
      </c>
      <c r="C12" s="3">
        <v>765000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B43F2-27B0-482C-B726-F6D02B25BD19}">
  <dimension ref="A3:G8"/>
  <sheetViews>
    <sheetView topLeftCell="A2" workbookViewId="0">
      <selection activeCell="C27" sqref="C26:C27"/>
    </sheetView>
  </sheetViews>
  <sheetFormatPr defaultRowHeight="14.5" x14ac:dyDescent="0.35"/>
  <cols>
    <col min="1" max="1" width="12.36328125" bestFit="1" customWidth="1"/>
    <col min="2" max="2" width="13.54296875" bestFit="1" customWidth="1"/>
    <col min="3" max="3" width="15.26953125" bestFit="1" customWidth="1"/>
    <col min="5" max="5" width="12.36328125" bestFit="1" customWidth="1"/>
    <col min="6" max="6" width="13.54296875" bestFit="1" customWidth="1"/>
    <col min="7" max="7" width="15.26953125" bestFit="1" customWidth="1"/>
  </cols>
  <sheetData>
    <row r="3" spans="1:7" x14ac:dyDescent="0.35">
      <c r="A3" s="1" t="s">
        <v>40</v>
      </c>
      <c r="B3" t="s">
        <v>42</v>
      </c>
      <c r="C3" t="s">
        <v>44</v>
      </c>
      <c r="E3" s="1" t="s">
        <v>40</v>
      </c>
      <c r="F3" t="s">
        <v>42</v>
      </c>
      <c r="G3" t="s">
        <v>44</v>
      </c>
    </row>
    <row r="4" spans="1:7" x14ac:dyDescent="0.35">
      <c r="A4" s="2" t="s">
        <v>31</v>
      </c>
      <c r="B4" s="3">
        <v>3</v>
      </c>
      <c r="C4" s="3">
        <v>60000</v>
      </c>
      <c r="E4" s="2" t="s">
        <v>28</v>
      </c>
      <c r="F4" s="3">
        <v>3</v>
      </c>
      <c r="G4" s="3">
        <v>68333.333333333328</v>
      </c>
    </row>
    <row r="5" spans="1:7" x14ac:dyDescent="0.35">
      <c r="A5" s="2" t="s">
        <v>16</v>
      </c>
      <c r="B5" s="3">
        <v>4</v>
      </c>
      <c r="C5" s="3">
        <v>75500</v>
      </c>
      <c r="E5" s="2" t="s">
        <v>37</v>
      </c>
      <c r="F5" s="3">
        <v>2</v>
      </c>
      <c r="G5" s="3">
        <v>76500</v>
      </c>
    </row>
    <row r="6" spans="1:7" x14ac:dyDescent="0.35">
      <c r="A6" s="2" t="s">
        <v>13</v>
      </c>
      <c r="B6" s="3">
        <v>3</v>
      </c>
      <c r="C6" s="3">
        <v>91000</v>
      </c>
      <c r="E6" s="2" t="s">
        <v>12</v>
      </c>
      <c r="F6" s="3">
        <v>3</v>
      </c>
      <c r="G6" s="3">
        <v>83000</v>
      </c>
    </row>
    <row r="7" spans="1:7" x14ac:dyDescent="0.35">
      <c r="A7" s="2" t="s">
        <v>41</v>
      </c>
      <c r="B7" s="3">
        <v>10</v>
      </c>
      <c r="C7" s="3">
        <v>75500</v>
      </c>
      <c r="E7" s="2" t="s">
        <v>22</v>
      </c>
      <c r="F7" s="3">
        <v>2</v>
      </c>
      <c r="G7" s="3">
        <v>74000</v>
      </c>
    </row>
    <row r="8" spans="1:7" x14ac:dyDescent="0.35">
      <c r="E8" s="2" t="s">
        <v>41</v>
      </c>
      <c r="F8" s="3">
        <v>10</v>
      </c>
      <c r="G8" s="3">
        <v>75500</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A48A8-868C-4EC0-B8AB-FBA31C5E6960}">
  <dimension ref="A1:N3"/>
  <sheetViews>
    <sheetView showGridLines="0" workbookViewId="0">
      <selection activeCell="O4" sqref="O4"/>
    </sheetView>
  </sheetViews>
  <sheetFormatPr defaultRowHeight="14.5" x14ac:dyDescent="0.35"/>
  <cols>
    <col min="1" max="8" width="14.26953125" style="7" customWidth="1"/>
    <col min="9" max="16384" width="8.7265625" style="7"/>
  </cols>
  <sheetData>
    <row r="1" spans="1:14" ht="20" customHeight="1" x14ac:dyDescent="0.35">
      <c r="A1" s="6" t="s">
        <v>65</v>
      </c>
      <c r="B1" s="6"/>
      <c r="C1" s="6"/>
      <c r="D1" s="6"/>
      <c r="E1" s="6"/>
      <c r="F1" s="6"/>
      <c r="G1" s="6"/>
      <c r="H1" s="6"/>
      <c r="I1" s="6"/>
      <c r="J1" s="6"/>
      <c r="K1" s="6"/>
      <c r="L1" s="6"/>
      <c r="M1" s="6"/>
      <c r="N1" s="6"/>
    </row>
    <row r="2" spans="1:14" ht="15" customHeight="1" x14ac:dyDescent="0.35">
      <c r="A2" s="5" t="s">
        <v>61</v>
      </c>
      <c r="B2" s="5"/>
      <c r="C2" s="5" t="s">
        <v>62</v>
      </c>
      <c r="D2" s="5"/>
      <c r="E2" s="5" t="s">
        <v>63</v>
      </c>
      <c r="F2" s="5"/>
      <c r="G2" s="5" t="s">
        <v>64</v>
      </c>
      <c r="H2" s="5"/>
    </row>
    <row r="3" spans="1:14" ht="15" customHeight="1" x14ac:dyDescent="0.35">
      <c r="A3" s="8">
        <f>COUNTA(Raw_Data!B2:B11)</f>
        <v>10</v>
      </c>
      <c r="B3" s="8"/>
      <c r="C3" s="8">
        <f>ROUND(AVERAGE(Raw_Data!E2:E11),0)</f>
        <v>75500</v>
      </c>
      <c r="D3" s="8"/>
      <c r="E3" s="8">
        <f>SUM(Raw_Data!E2:E11)</f>
        <v>755000</v>
      </c>
      <c r="F3" s="8"/>
      <c r="G3" s="8">
        <f>COUNTIF(Raw_Data!G2:G11,"Senior")</f>
        <v>3</v>
      </c>
      <c r="H3" s="8"/>
    </row>
  </sheetData>
  <mergeCells count="1">
    <mergeCell ref="A1:N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Dept_Analysis</vt:lpstr>
      <vt:lpstr>Sales_Analysis</vt:lpstr>
      <vt:lpstr>Salary_Analysis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Mounika Yarramdasu</dc:creator>
  <cp:lastModifiedBy>Mounika Yarramdasu</cp:lastModifiedBy>
  <cp:lastPrinted>2026-04-11T15:05:58Z</cp:lastPrinted>
  <dcterms:created xsi:type="dcterms:W3CDTF">2026-04-11T08:58:54Z</dcterms:created>
  <dcterms:modified xsi:type="dcterms:W3CDTF">2026-04-11T18:19:25Z</dcterms:modified>
</cp:coreProperties>
</file>